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тория изменений" sheetId="1" r:id="rId5"/>
    <sheet state="visible" name="История операций" sheetId="2" r:id="rId6"/>
    <sheet state="visible" name="Карточка операциониста" sheetId="3" r:id="rId7"/>
    <sheet state="visible" name="Документы объектов" sheetId="4" r:id="rId8"/>
    <sheet state="visible" name="Справочник для КО" sheetId="5" r:id="rId9"/>
    <sheet state="visible" name="Объекты" sheetId="6" r:id="rId10"/>
    <sheet state="visible" name="Справочник сотрудников" sheetId="7" r:id="rId11"/>
    <sheet state="visible" name="Справочник клиентов" sheetId="8" r:id="rId12"/>
    <sheet state="visible" name="Справочник документов" sheetId="9" r:id="rId13"/>
    <sheet state="visible" name="Сущности системы (техническое)" sheetId="10" r:id="rId14"/>
    <sheet state="hidden" name="Система документооборота" sheetId="11" r:id="rId15"/>
    <sheet state="hidden" name="Идеальный интерфейс собственник" sheetId="12" r:id="rId16"/>
    <sheet state="hidden" name="Беклог  На будущее" sheetId="13" r:id="rId17"/>
    <sheet state="hidden" name="ТРИЗ по ЗП" sheetId="14" r:id="rId18"/>
    <sheet state="hidden" name="Путь клиента" sheetId="15" r:id="rId19"/>
    <sheet state="hidden" name="Доступы" sheetId="16" r:id="rId20"/>
    <sheet state="hidden" name="Система документов" sheetId="17" r:id="rId21"/>
    <sheet state="hidden" name="Анкета" sheetId="18" r:id="rId22"/>
    <sheet state="hidden" name="Анкета. Конкретика" sheetId="19" r:id="rId23"/>
    <sheet state="hidden" name="Пример фильтра ячейки" sheetId="20" r:id="rId2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Получить список по Контрагентам (Списки в 1с находятся)</t>
      </text>
    </comment>
    <comment authorId="0" ref="C4">
      <text>
        <t xml:space="preserve">Откуда тянет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Откуда тянет</t>
      </text>
    </comment>
    <comment authorId="0" ref="J3">
      <text>
        <t xml:space="preserve">Получить список по Контрагентам (Списки в 1с находятся)</t>
      </text>
    </comment>
  </commentList>
</comments>
</file>

<file path=xl/sharedStrings.xml><?xml version="1.0" encoding="utf-8"?>
<sst xmlns="http://schemas.openxmlformats.org/spreadsheetml/2006/main" count="983" uniqueCount="652">
  <si>
    <t>История изменений</t>
  </si>
  <si>
    <t>ID изменения</t>
  </si>
  <si>
    <t>ID операции</t>
  </si>
  <si>
    <t>Дата и время изменения</t>
  </si>
  <si>
    <t>Кто изменил (email)</t>
  </si>
  <si>
    <t>Тип действия</t>
  </si>
  <si>
    <t>ID документа</t>
  </si>
  <si>
    <t>ID объекта</t>
  </si>
  <si>
    <t>Номер строки в таблице фактов</t>
  </si>
  <si>
    <t>Название поля</t>
  </si>
  <si>
    <t>Старое значение</t>
  </si>
  <si>
    <t>Новое значение</t>
  </si>
  <si>
    <t>Источник изменения</t>
  </si>
  <si>
    <t>Дата и время начала</t>
  </si>
  <si>
    <t>Дата и время завершения</t>
  </si>
  <si>
    <t>Кто запустил (email)</t>
  </si>
  <si>
    <t>Источник операции</t>
  </si>
  <si>
    <t>Тип операции</t>
  </si>
  <si>
    <t>Статус операции</t>
  </si>
  <si>
    <t>Документов загружено в карточку</t>
  </si>
  <si>
    <t>Документов с изменениями</t>
  </si>
  <si>
    <t>Строк факта обновлено</t>
  </si>
  <si>
    <t>Полей изменено</t>
  </si>
  <si>
    <t>Дублирующихся ID найдено</t>
  </si>
  <si>
    <t>Ошибок</t>
  </si>
  <si>
    <t>Время выполнения, сек.</t>
  </si>
  <si>
    <t>Текст ошибки / комментарий</t>
  </si>
  <si>
    <t>Блок</t>
  </si>
  <si>
    <t>Идентификация</t>
  </si>
  <si>
    <t>Основные данные документа</t>
  </si>
  <si>
    <t>Движение документа</t>
  </si>
  <si>
    <t>Финансы / условия</t>
  </si>
  <si>
    <t>Системные поля</t>
  </si>
  <si>
    <t>Меняет операционист</t>
  </si>
  <si>
    <t>????</t>
  </si>
  <si>
    <t>Таблица фактов</t>
  </si>
  <si>
    <t>Справочник объектов</t>
  </si>
  <si>
    <t>Справочник документов</t>
  </si>
  <si>
    <t>Справочник объектов? Или отдельно сформировать список договоров?</t>
  </si>
  <si>
    <t>Прописывается в карточке объекта</t>
  </si>
  <si>
    <t>Прописывается в карточке операциониста</t>
  </si>
  <si>
    <t>Карточка операциониста</t>
  </si>
  <si>
    <t>Прописывается автоматически в факте документов</t>
  </si>
  <si>
    <t>Прописывается автоматически в факте документов после обновления операционистом</t>
  </si>
  <si>
    <t>Справочник сотрудников</t>
  </si>
  <si>
    <t>Тип документа</t>
  </si>
  <si>
    <t>Номер договора</t>
  </si>
  <si>
    <t>Дата документа</t>
  </si>
  <si>
    <t>Статус документа</t>
  </si>
  <si>
    <t>Оригинал / ЭДО</t>
  </si>
  <si>
    <t>Комментарий</t>
  </si>
  <si>
    <t>У кого документ</t>
  </si>
  <si>
    <t>Где документ</t>
  </si>
  <si>
    <t>Кто передал</t>
  </si>
  <si>
    <t>Оплачен</t>
  </si>
  <si>
    <t>Сумма документа</t>
  </si>
  <si>
    <t>ГУ (Да/Нет)</t>
  </si>
  <si>
    <t>Условия ГУ</t>
  </si>
  <si>
    <t>Статус объекта</t>
  </si>
  <si>
    <t>Дата начала работ</t>
  </si>
  <si>
    <t>Дата окончания (по плану)</t>
  </si>
  <si>
    <t>Дата окончания (по факту)</t>
  </si>
  <si>
    <t>Дата создания</t>
  </si>
  <si>
    <t>Статус записи</t>
  </si>
  <si>
    <t>Дата обновления</t>
  </si>
  <si>
    <t>Подписан</t>
  </si>
  <si>
    <t>Мтищи</t>
  </si>
  <si>
    <t>ID типа документа</t>
  </si>
  <si>
    <t>Не оплачен</t>
  </si>
  <si>
    <t>Да</t>
  </si>
  <si>
    <t>Оригинал</t>
  </si>
  <si>
    <t>Кто обновил (email)</t>
  </si>
  <si>
    <t>Активная</t>
  </si>
  <si>
    <t>На согласовании</t>
  </si>
  <si>
    <t>Ответственный прораб</t>
  </si>
  <si>
    <t>Проспект Мира</t>
  </si>
  <si>
    <t>Оплачен частично</t>
  </si>
  <si>
    <t>Нет</t>
  </si>
  <si>
    <t>ЭДО</t>
  </si>
  <si>
    <t>ID сотрудника — у кого документ</t>
  </si>
  <si>
    <t>Архивная</t>
  </si>
  <si>
    <t>В разработке</t>
  </si>
  <si>
    <t>Голден Гейт</t>
  </si>
  <si>
    <t>ID сотрудника — кто передал</t>
  </si>
  <si>
    <t>Удалённая</t>
  </si>
  <si>
    <t>Ожидает заполнения</t>
  </si>
  <si>
    <t>ID ответственного прораба</t>
  </si>
  <si>
    <t>Дата изменения статуса документа</t>
  </si>
  <si>
    <t>Отчётный период</t>
  </si>
  <si>
    <t>Источник создания</t>
  </si>
  <si>
    <t>Договор</t>
  </si>
  <si>
    <t>29384 от 21.11.2026</t>
  </si>
  <si>
    <t>11.11.2026</t>
  </si>
  <si>
    <t>Всего сотрудников</t>
  </si>
  <si>
    <t>Комментарий по документу</t>
  </si>
  <si>
    <t>Ваня Голубев / ПТУ МСУ / +79242805061</t>
  </si>
  <si>
    <t>Название</t>
  </si>
  <si>
    <t>Адрес</t>
  </si>
  <si>
    <t>Мтищи / Проспект Мира / Голден Гейт</t>
  </si>
  <si>
    <t>Никита Петров (Наш)</t>
  </si>
  <si>
    <t>Оплачен / Оплачен частично / Не оплачен</t>
  </si>
  <si>
    <t>ID Сотрудника</t>
  </si>
  <si>
    <t>КС, Договора</t>
  </si>
  <si>
    <t>ФИО сотрудника</t>
  </si>
  <si>
    <t>КС, Договор</t>
  </si>
  <si>
    <t>Должность</t>
  </si>
  <si>
    <t>Действующий</t>
  </si>
  <si>
    <t>Телефон рабочий</t>
  </si>
  <si>
    <t>ник в телеграмм</t>
  </si>
  <si>
    <t>Электронная почта</t>
  </si>
  <si>
    <t>Все</t>
  </si>
  <si>
    <t>Группа</t>
  </si>
  <si>
    <t>Дата найма</t>
  </si>
  <si>
    <t>Дата увольнения</t>
  </si>
  <si>
    <t>2540 - Садовническая 76 71, скважины, Нью Граунд</t>
  </si>
  <si>
    <t>Садовническая 76 71, скважины, Нью Граунд</t>
  </si>
  <si>
    <t>Остапенко Денис Витальевич</t>
  </si>
  <si>
    <t>Генеральный директор</t>
  </si>
  <si>
    <t>+7(903)2977000</t>
  </si>
  <si>
    <t>@Osushenie_RF</t>
  </si>
  <si>
    <t>Администрация</t>
  </si>
  <si>
    <t>2557 - Сергея Макеева 7.1, КРАШМАШ</t>
  </si>
  <si>
    <t>Сергея Макеева 7.1, КРАШМАШ</t>
  </si>
  <si>
    <t>Действующий / Завершение ГУ / Завершен</t>
  </si>
  <si>
    <t>Васина Кристина Евгеньевна</t>
  </si>
  <si>
    <t>Специалист по кадрам</t>
  </si>
  <si>
    <t>+7 (969) 3410197</t>
  </si>
  <si>
    <t>@HR_Osushenie</t>
  </si>
  <si>
    <t>2605 - ПАРК КЕДР, Вестстройсеть</t>
  </si>
  <si>
    <t>ПАРК КЕДР, Вестстройсеть</t>
  </si>
  <si>
    <t>Иван</t>
  </si>
  <si>
    <t>Активный</t>
  </si>
  <si>
    <t>Вихорева Ирина Сергеевна</t>
  </si>
  <si>
    <t>Заместитель директора</t>
  </si>
  <si>
    <t>+7 (903) 1688000</t>
  </si>
  <si>
    <t>@Irina_Osushenie</t>
  </si>
  <si>
    <t>2611 - Горки,  АБС, Раевский В.А</t>
  </si>
  <si>
    <t>Горки,  АБС, Раевский В.А</t>
  </si>
  <si>
    <t>Геранюшкина Мария Дмитриевна</t>
  </si>
  <si>
    <t>Бухгалтер по налогообложению</t>
  </si>
  <si>
    <t>2655 - т.у. Успенское, Вестстройсеть д. Таганьково</t>
  </si>
  <si>
    <t>т.у. Успенское, Вестстройсеть д. Таганьково</t>
  </si>
  <si>
    <t>Гужва Семен Дмитриевич</t>
  </si>
  <si>
    <t>Инженер производственно-технического отдела</t>
  </si>
  <si>
    <t>@mon_d1y</t>
  </si>
  <si>
    <t>2662 - Огородный пр. 20, СТР констракшн</t>
  </si>
  <si>
    <t>Огородный пр. 20, СТР констракшн</t>
  </si>
  <si>
    <t>Гузева Анна Игоревна</t>
  </si>
  <si>
    <t>Бухгалтер</t>
  </si>
  <si>
    <t>+7 (903) 297-70-00</t>
  </si>
  <si>
    <t>@Buh_osushenie</t>
  </si>
  <si>
    <t>2666 - 2-я Ямская Марьина Роща, СТР Констракшн</t>
  </si>
  <si>
    <t>Данилов Никита Дмитриевич</t>
  </si>
  <si>
    <t>2-я Ямская Марьина Роща, СТР Констракшн</t>
  </si>
  <si>
    <t>Начальник производственно-технического отдела</t>
  </si>
  <si>
    <t>+7 (968) 0972037</t>
  </si>
  <si>
    <t>@pto_osushenie</t>
  </si>
  <si>
    <t>Демехин Илья Витальевич</t>
  </si>
  <si>
    <t>Посмотреть - можно ли по щелчку перейти на карточку человека</t>
  </si>
  <si>
    <t>@Osushenie666PTO</t>
  </si>
  <si>
    <t>25125 - Циолковского, Миланстрой</t>
  </si>
  <si>
    <t>Циолковского, Миланстрой</t>
  </si>
  <si>
    <t>Савосин Вадим Сергеевич</t>
  </si>
  <si>
    <t>Специалист тендерного отдела</t>
  </si>
  <si>
    <t>нет</t>
  </si>
  <si>
    <t>Ярославцев Прохор Дмитриевич</t>
  </si>
  <si>
    <t>25135 -г. Королёв, ЖК КТРВ, ПрофСтройГрупп</t>
  </si>
  <si>
    <t>г. Королёв, ЖК КТРВ, ПрофСтройГрупп</t>
  </si>
  <si>
    <t>Дружинин Сергей Владимирович</t>
  </si>
  <si>
    <t>Начальник Участка</t>
  </si>
  <si>
    <t>+7 (969) 3410185</t>
  </si>
  <si>
    <t>@OsushenieRF</t>
  </si>
  <si>
    <t>25195 - ЖК Адмирал, ЛДВ ГРУП</t>
  </si>
  <si>
    <t>ЖК Адмирал, ЛДВ ГРУП</t>
  </si>
  <si>
    <t>ИТР</t>
  </si>
  <si>
    <t>Крупейников Вячеслав Вадимович</t>
  </si>
  <si>
    <t>Производитель работ (прораб)</t>
  </si>
  <si>
    <t>+7 (903) 1646700</t>
  </si>
  <si>
    <t>25234 - г. Углич, Высота М</t>
  </si>
  <si>
    <t>г. Углич, Высота М</t>
  </si>
  <si>
    <t>Леонов Сергей Юрьевич</t>
  </si>
  <si>
    <t>Начальник ремонтно-технической базы</t>
  </si>
  <si>
    <t>+7 (906) 0105514</t>
  </si>
  <si>
    <t>Пацерук Константин Юрьевич</t>
  </si>
  <si>
    <t>Главный инженер</t>
  </si>
  <si>
    <t>+7 (968) 0972038</t>
  </si>
  <si>
    <t>25250 - ул. Шумкина, КрашМаш</t>
  </si>
  <si>
    <t>ул. Шумкина, КрашМаш</t>
  </si>
  <si>
    <t>Степанов Руслан Александрович</t>
  </si>
  <si>
    <t>Мастер строительно-монтажного участка</t>
  </si>
  <si>
    <t>@OsushenieRF3</t>
  </si>
  <si>
    <t>25282 - Алябьева, МСУ-1</t>
  </si>
  <si>
    <t>Алябьева, МСУ-1</t>
  </si>
  <si>
    <t>Титов Никита Алексеевич</t>
  </si>
  <si>
    <t>+7 (903) 0142725</t>
  </si>
  <si>
    <t>Антонович Антон Сергеевич</t>
  </si>
  <si>
    <t>Машинист насосных установок</t>
  </si>
  <si>
    <t>Производственный отдел</t>
  </si>
  <si>
    <t>25300 - Новая дорога, 11, Фодд Айди</t>
  </si>
  <si>
    <t>Новая дорога, 11, Фодд Айди</t>
  </si>
  <si>
    <t>Бедарев Василий Петрович</t>
  </si>
  <si>
    <t>Беспалов Данила Николаевич</t>
  </si>
  <si>
    <t>Бухора Иван Ильич</t>
  </si>
  <si>
    <t>Гриневич Игорь Анатольевич</t>
  </si>
  <si>
    <t>Электрогазосварщик 4 разряда</t>
  </si>
  <si>
    <t>Гришко Александр Сергеевич</t>
  </si>
  <si>
    <t>Давыдов Семен Валерьевич</t>
  </si>
  <si>
    <t>Деменчук Алексей Львович</t>
  </si>
  <si>
    <t>Домрачев Сергей Павлович</t>
  </si>
  <si>
    <t>Звягинцев Евгений Анатольевич</t>
  </si>
  <si>
    <t>Калинин Дмитрий Александрович</t>
  </si>
  <si>
    <t>Карпушкин Дмитрий Владимирович</t>
  </si>
  <si>
    <t>Экспедитор</t>
  </si>
  <si>
    <t>Кромский Антон Юрьевич</t>
  </si>
  <si>
    <t>Лазарев Андрей Эдуардович</t>
  </si>
  <si>
    <t>Липиса Денис Александрович</t>
  </si>
  <si>
    <t>Ложкин Александр Иванович</t>
  </si>
  <si>
    <t>Ляпкин Денис Викторович</t>
  </si>
  <si>
    <t>Мехоношин Николай Исрафилевич</t>
  </si>
  <si>
    <t>Мухин Артур Александрович</t>
  </si>
  <si>
    <t>Неплях Сергей Викторович</t>
  </si>
  <si>
    <t>Пархоменко Денис Владимирович</t>
  </si>
  <si>
    <t>Инженер-энергетик</t>
  </si>
  <si>
    <t>Ракитин Станислав Анатольевич</t>
  </si>
  <si>
    <t>Русанов Кирилл Юрьевич</t>
  </si>
  <si>
    <t>Рыков Александр Васильевич</t>
  </si>
  <si>
    <t>Смирнов Вячеслав Викторович</t>
  </si>
  <si>
    <t>Сорокин Илья Михайлович</t>
  </si>
  <si>
    <t>+7 (968) 0972039</t>
  </si>
  <si>
    <t>Татуйко Николай Викторович</t>
  </si>
  <si>
    <t>Тихомиров Артем Владимирович</t>
  </si>
  <si>
    <t>Толстых Александр Иванович</t>
  </si>
  <si>
    <t>Трегулов Руслан Ханяфиевич</t>
  </si>
  <si>
    <t>Храмцов Василий Васильевич</t>
  </si>
  <si>
    <t>Хромов Егор Викторович</t>
  </si>
  <si>
    <t>Черников Сергей Николаевич</t>
  </si>
  <si>
    <t>Слесарь по ремонту оборудования</t>
  </si>
  <si>
    <t>Шлык Александр Александрович</t>
  </si>
  <si>
    <t>Яковлев Василий Вячеславович</t>
  </si>
  <si>
    <t>Ярош Александр Олегович</t>
  </si>
  <si>
    <t>Всего клиентов</t>
  </si>
  <si>
    <t>Обязательность</t>
  </si>
  <si>
    <t>Создавать при создании объекта</t>
  </si>
  <si>
    <t>Срок на исполнение от даты создания</t>
  </si>
  <si>
    <t>Повторяемость</t>
  </si>
  <si>
    <t>ID клиента</t>
  </si>
  <si>
    <t>Наименование клиента</t>
  </si>
  <si>
    <t>Телефон</t>
  </si>
  <si>
    <t>Статус клиента</t>
  </si>
  <si>
    <t>Обязательный</t>
  </si>
  <si>
    <t>Автоматически</t>
  </si>
  <si>
    <t>Нет (Вручную) по каждому договору</t>
  </si>
  <si>
    <t>Один</t>
  </si>
  <si>
    <t>Дополнительное соглашение</t>
  </si>
  <si>
    <t>Дополнительный</t>
  </si>
  <si>
    <t>Создавать через приложение</t>
  </si>
  <si>
    <t>Много</t>
  </si>
  <si>
    <t>КС-2 — акт о приёмке выполненных работ</t>
  </si>
  <si>
    <t>7</t>
  </si>
  <si>
    <t>КС-3 — справка о стоимости выполненных работ и затрат</t>
  </si>
  <si>
    <t>14</t>
  </si>
  <si>
    <t>КС-6 — это «Общий журнал работ» в строительстве</t>
  </si>
  <si>
    <t>Исполнительная документация</t>
  </si>
  <si>
    <t>Акт сдачи-приёмки работ</t>
  </si>
  <si>
    <t>Гарантийное удержание</t>
  </si>
  <si>
    <t>Создать единую систему документооборота по объектам, которая:</t>
  </si>
  <si>
    <t>хранит документы по каждому объекту;</t>
  </si>
  <si>
    <t>показывает актуальный статус каждого документа;</t>
  </si>
  <si>
    <t>автоматически контролирует сроки;</t>
  </si>
  <si>
    <t>уведомляет ответственных о задержках;</t>
  </si>
  <si>
    <t>позволяет руководителю видеть ситуацию по всем объектам.</t>
  </si>
  <si>
    <t>Таблица</t>
  </si>
  <si>
    <t>Сущность</t>
  </si>
  <si>
    <t>Таблица фактов «Документы»</t>
  </si>
  <si>
    <t>Документ</t>
  </si>
  <si>
    <t>Таблица объектов</t>
  </si>
  <si>
    <t>Объект</t>
  </si>
  <si>
    <t>Сотрудник</t>
  </si>
  <si>
    <t>Справочник типов документов</t>
  </si>
  <si>
    <t>Изменение документа</t>
  </si>
  <si>
    <t>Сценарий</t>
  </si>
  <si>
    <t>Условия</t>
  </si>
  <si>
    <t>Пример</t>
  </si>
  <si>
    <t>Компонент</t>
  </si>
  <si>
    <t>С чем работает</t>
  </si>
  <si>
    <t>Web-приложение добавления документов</t>
  </si>
  <si>
    <t>Объект + Тип документа + Сотрудник → Документ</t>
  </si>
  <si>
    <t>Карточка объекта</t>
  </si>
  <si>
    <t>Объект + Документы</t>
  </si>
  <si>
    <t>Человек загружает документ по объекту в гугл диск</t>
  </si>
  <si>
    <t>Должно быть легко и должно дать возможность прикрепить файл как в телефоне, так и в браузере</t>
  </si>
  <si>
    <t>https://script.google.com/macros/s/AKfycbxUL33B2WYVqVvwPXZuif4E8Li9_8_y0sxSlwFAsZU7GTxirUvDkmNrAttoREcx4LM1/exec</t>
  </si>
  <si>
    <t>Сводная</t>
  </si>
  <si>
    <t>Объекты + Документы</t>
  </si>
  <si>
    <t>У документа автоматически обновляется статус</t>
  </si>
  <si>
    <t>Собственник смотрит за статусами документов по объекту</t>
  </si>
  <si>
    <t>Система уведомляет о просроченном действии по документу</t>
  </si>
  <si>
    <t>Сущность 1</t>
  </si>
  <si>
    <t>Связь</t>
  </si>
  <si>
    <t>Сущность 2</t>
  </si>
  <si>
    <t>Как реализуется</t>
  </si>
  <si>
    <t>1 → много</t>
  </si>
  <si>
    <t>Документы.object_id</t>
  </si>
  <si>
    <t>Архитектура MVP</t>
  </si>
  <si>
    <t>Первичный ключ</t>
  </si>
  <si>
    <t>Документы.document_type_id</t>
  </si>
  <si>
    <t>Сформировать шаблон с Ириной.</t>
  </si>
  <si>
    <t>5. Таблица фактов «Документы»</t>
  </si>
  <si>
    <t>Документы.responsible_employee_id</t>
  </si>
  <si>
    <t>Основные поля:
document_id;
object_id;
document_type_id;
название документа;
плановый/дополнительный;
статус;
ответственный;
плановая дата;
дата изменения статуса;
комментарий;
создано;
обновлено;
кто обновил.
Поля, связанные с файлами, пока не нужны. Но можно заранее оставить пустые служебные столбцы:
file_url;
file_id;
version.</t>
  </si>
  <si>
    <t>Одна строка — один документ, который должен существовать или уже существует по объекту.</t>
  </si>
  <si>
    <t>Сформировать шаблон с Ириной. Для начала просто весь список возможных документов</t>
  </si>
  <si>
    <t>3. Справочник типов документов</t>
  </si>
  <si>
    <t>document_type_id;
название документа;
категория;
стандартный срок;
обязательный/дополнительный;
порядок отображения;
допустимые статусы.</t>
  </si>
  <si>
    <t>document_type_id;</t>
  </si>
  <si>
    <t>Содержит правила по документам. Важно для Уведомлений о пропущенных документах:
- Какой срок на статус у документа</t>
  </si>
  <si>
    <t>История.document_id</t>
  </si>
  <si>
    <t>4. Шаблоны документов по объекту (первичное создание документов)</t>
  </si>
  <si>
    <t>Стандартный объект
— Договор
— Акт №1
— Акт №2
— Акт №3
— Закрывающий документ</t>
  </si>
  <si>
    <t>—</t>
  </si>
  <si>
    <t>История.changed_by_employee_id</t>
  </si>
  <si>
    <t>- Определяют, какие документы должны появиться при создании объекта.
- При создании нового объекта скрипт добавляет эти строки в таблицу фактов со статусом «Не получен».</t>
  </si>
  <si>
    <t>Сформировать с Ириной</t>
  </si>
  <si>
    <t>7. Карточка объекта</t>
  </si>
  <si>
    <t>выбор объекта;
загрузка списка документов скриптом;
отображение плановых и дополнительных документов;
редактирование статуса;
редактирование ответственного;
изменение срока;
комментарий;
сохранение изменений обратно по document_id.</t>
  </si>
  <si>
    <t>Рабочий экран операциониста:</t>
  </si>
  <si>
    <t>Сформировать с Денисом</t>
  </si>
  <si>
    <t>8. Сводная таблица объектов</t>
  </si>
  <si>
    <t>Основные показатели по объектам:
всего обязательных документов;
подписано;
не получено;
в работе;
на подписании;
требует исправления;
просрочено;
дополнительных документов;
процент комплектности.</t>
  </si>
  <si>
    <t>1. Справочник объектов</t>
  </si>
  <si>
    <t>Одна строка — один объект:
object_id;
название объекта;
адрес;
тип объекта;
ответственный;
дата начала;
статус объекта;
активен/закрыт.</t>
  </si>
  <si>
    <t>object_id</t>
  </si>
  <si>
    <t>Получить от Ирины</t>
  </si>
  <si>
    <t>2. Справочник сотрудников</t>
  </si>
  <si>
    <t>employee_id;
ФИО;
роль;
email;
активен/уволен.
Дата начала работы
Дата увольнения</t>
  </si>
  <si>
    <t>employee_id;</t>
  </si>
  <si>
    <t>Нужен для актуальных выпадающих списков:
В Web App и карточке объекта выводятся только активные сотрудники.</t>
  </si>
  <si>
    <t>Решает Илья</t>
  </si>
  <si>
    <t>Схема со связями архитектуры документооборота</t>
  </si>
  <si>
    <t>6. Web App</t>
  </si>
  <si>
    <t>выбрать объект;
указать тип или название документа;
назначить ответственного;
поставить срок;
указать первоначальный статус;
добавить комментарий.</t>
  </si>
  <si>
    <t>- Веб выполняет задачу создания дополнительного документа:</t>
  </si>
  <si>
    <t>решает илья</t>
  </si>
  <si>
    <t>https://app.diagrams.net/#G17J-UhhicyR3-7kCkrfupJWCdHaT_ct1H#%7B%22pageId%22%3A%22SxgpPh8dIjoMLv4oxtXH%22%7D</t>
  </si>
  <si>
    <t>9. История изменений</t>
  </si>
  <si>
    <t>Она фиксирует:
документ создан;
статус изменён;
ответственный изменён;
срок изменён;
комментарий изменён;
кто и когда внёс изменение.</t>
  </si>
  <si>
    <t>10. На будущее как беклог</t>
  </si>
  <si>
    <t>загрузку файлов;
создание папок объектов;
хранение актуальных файлов;
архивирование старых версий;
ссылки на документы;
автоматическое переименование;
управление доступом к папкам.</t>
  </si>
  <si>
    <t>Дорожная карта</t>
  </si>
  <si>
    <t>Месяц 1. Проектирование и запуск MVP</t>
  </si>
  <si>
    <t>Что делаем:</t>
  </si>
  <si>
    <t>описываем текущий процесс работы с документами;</t>
  </si>
  <si>
    <t>формируем перечень документов по объектам;</t>
  </si>
  <si>
    <t>определяем статусы, ответственных и нормативные сроки;</t>
  </si>
  <si>
    <t>создаём реестр объектов и реестр документов;</t>
  </si>
  <si>
    <t>проектируем структуру папок на Google Drive;</t>
  </si>
  <si>
    <t>создаём первую версию Web App;</t>
  </si>
  <si>
    <t>настраиваем загрузку документов с телефона и компьютера;</t>
  </si>
  <si>
    <t>запускаем систему на нескольких тестовых объектах.</t>
  </si>
  <si>
    <t>Что получает клиент через месяц:</t>
  </si>
  <si>
    <t>рабочий прототип системы;</t>
  </si>
  <si>
    <t>единый реестр объектов и документов;</t>
  </si>
  <si>
    <t>понятную структуру хранения файлов;</t>
  </si>
  <si>
    <t>возможность загружать документы через отдельную страницу;</t>
  </si>
  <si>
    <t>первые реальные объекты в системе;</t>
  </si>
  <si>
    <t>согласованную логику статусов и ответственности.</t>
  </si>
  <si>
    <t>Месяц 2. Автоматизация и контроль</t>
  </si>
  <si>
    <t>автоматизируем создание папок новых объектов;</t>
  </si>
  <si>
    <t>настраиваем сохранение файлов в нужную папку;</t>
  </si>
  <si>
    <t>добавляем автоматическое переименование документов;</t>
  </si>
  <si>
    <t>реализуем архивирование предыдущих версий;</t>
  </si>
  <si>
    <t>фиксируем историю изменений;</t>
  </si>
  <si>
    <t>настраиваем расчёт дней в статусе;</t>
  </si>
  <si>
    <t>создаём сводную по объектам;</t>
  </si>
  <si>
    <t>выделяем отсутствующие и просроченные документы;</t>
  </si>
  <si>
    <t>запускаем первые уведомления ответственным.</t>
  </si>
  <si>
    <t>Что получает клиент через два месяца:</t>
  </si>
  <si>
    <t>работающую систему версий документов;</t>
  </si>
  <si>
    <t>автоматический архив внутри папки каждого объекта;</t>
  </si>
  <si>
    <t>актуальный документ всегда находится на своём месте;</t>
  </si>
  <si>
    <t>руководитель видит состояние документооборота по всем объектам;</t>
  </si>
  <si>
    <t>система автоматически определяет задержки;</t>
  </si>
  <si>
    <t>ответственные начинают получать уведомления.</t>
  </si>
  <si>
    <t>Месяц 3. Финализация автоматизации и внедрение</t>
  </si>
  <si>
    <t>дорабатываем уведомления и эскалации;</t>
  </si>
  <si>
    <t>настраиваем повторные уведомления;</t>
  </si>
  <si>
    <t>добавляем журнал отправленных уведомлений;</t>
  </si>
  <si>
    <t>проверяем права доступа;</t>
  </si>
  <si>
    <t>тестируем переподписание и замену документов;</t>
  </si>
  <si>
    <t>устраняем ошибки на реальных объектах;</t>
  </si>
  <si>
    <t>дорабатываем интерфейс по обратной связи сотрудников;</t>
  </si>
  <si>
    <t>формируем инструкции;</t>
  </si>
  <si>
    <t>обучаем пользователей;</t>
  </si>
  <si>
    <t>фиксируем итоговые правила работы;</t>
  </si>
  <si>
    <t>передаём готовую систему в эксплуатацию.</t>
  </si>
  <si>
    <t>Что получает клиент через три месяца:</t>
  </si>
  <si>
    <t>полностью работающую систему документооборота;</t>
  </si>
  <si>
    <t>автоматическое хранение и архивирование версий;</t>
  </si>
  <si>
    <t>контроль статусов и сроков;</t>
  </si>
  <si>
    <t>сводную для руководителя;</t>
  </si>
  <si>
    <t>систему уведомлений и эскалаций;</t>
  </si>
  <si>
    <t>понятный интерфейс для сотрудников;</t>
  </si>
  <si>
    <t>инструкции и настроенный рабочий процесс;</t>
  </si>
  <si>
    <t>финализированную автоматизацию, готовую к постоянному использованию.</t>
  </si>
  <si>
    <t>1 месяц — запускаем систему.</t>
  </si>
  <si>
    <t>2 месяц — автоматизируем хранение, версии и контроль.</t>
  </si>
  <si>
    <t>3 месяц — финализируем автоматизацию, внедряем и передаём в работу.</t>
  </si>
  <si>
    <t>Первый месяц</t>
  </si>
  <si>
    <t>Проектирование и запуск MVP</t>
  </si>
  <si>
    <t>Результат:</t>
  </si>
  <si>
    <t>описание процесса документооборота;</t>
  </si>
  <si>
    <t>проектирование архитектуры системы;</t>
  </si>
  <si>
    <t>реестр объектов;</t>
  </si>
  <si>
    <t>реестр документов;</t>
  </si>
  <si>
    <t>структура хранения документов;</t>
  </si>
  <si>
    <t>Web App для загрузки документов;</t>
  </si>
  <si>
    <t>запуск первых объектов в системе.</t>
  </si>
  <si>
    <t>Второй месяц</t>
  </si>
  <si>
    <t>Автоматизация процесса</t>
  </si>
  <si>
    <t>автоматическое хранение документов;</t>
  </si>
  <si>
    <t>автоматическое архивирование предыдущих версий;</t>
  </si>
  <si>
    <t>управление статусами;</t>
  </si>
  <si>
    <t>контроль сроков документов;</t>
  </si>
  <si>
    <t>сводная руководителя;</t>
  </si>
  <si>
    <t>мониторинг комплектности документов.</t>
  </si>
  <si>
    <t>Третий месяц</t>
  </si>
  <si>
    <t>внедрение и стабилизация системы</t>
  </si>
  <si>
    <t>система уведомлений;</t>
  </si>
  <si>
    <t>журнал изменений;</t>
  </si>
  <si>
    <t>доработка по результатам тестирования;</t>
  </si>
  <si>
    <t>обучение сотрудников;</t>
  </si>
  <si>
    <t>исправление замечаний;</t>
  </si>
  <si>
    <t>ввод системы в постоянную эксплуатацию.</t>
  </si>
  <si>
    <t>Что НЕ входит в текущий этап</t>
  </si>
  <si>
    <t>интеграции с другими системами;</t>
  </si>
  <si>
    <t>электронная подпись;</t>
  </si>
  <si>
    <t>распознавание документов (OCR);</t>
  </si>
  <si>
    <t>мобильное приложение;</t>
  </si>
  <si>
    <t>согласование документов через систему;</t>
  </si>
  <si>
    <t>сложная ролевая модель доступа.</t>
  </si>
  <si>
    <t>Фильтры</t>
  </si>
  <si>
    <t>Ответственный</t>
  </si>
  <si>
    <t>Статус</t>
  </si>
  <si>
    <t>У кого</t>
  </si>
  <si>
    <t>Месяц</t>
  </si>
  <si>
    <t>МАС</t>
  </si>
  <si>
    <t>Этап</t>
  </si>
  <si>
    <t>На подписании</t>
  </si>
  <si>
    <t>Стоимость</t>
  </si>
  <si>
    <t>1. VSM / Service Blueprint</t>
  </si>
  <si>
    <t>Понимаем, как бизнес реально работает сейчас.</t>
  </si>
  <si>
    <t>Год</t>
  </si>
  <si>
    <t>сводная</t>
  </si>
  <si>
    <t>В работе</t>
  </si>
  <si>
    <t>2. Theory of Constraints</t>
  </si>
  <si>
    <t>Выбираем одно главное ограничение роста.</t>
  </si>
  <si>
    <t>К выплате (Подписанные акты)</t>
  </si>
  <si>
    <t>3. Opportunity Solution Tree</t>
  </si>
  <si>
    <t>Выплачено</t>
  </si>
  <si>
    <t>Формируем несколько гипотез, а не одну любимую автоматизацию.</t>
  </si>
  <si>
    <t>Осталось выплатить</t>
  </si>
  <si>
    <t>Дозаполнить сделки</t>
  </si>
  <si>
    <t>Загруженность дизайнера</t>
  </si>
  <si>
    <t>4. A3</t>
  </si>
  <si>
    <t>Описываем проблему, факты, план и показатели.</t>
  </si>
  <si>
    <t>5. Project Poster + DACI + Pre-mortem</t>
  </si>
  <si>
    <t>Договариваемся с собственником и командой, кто что делает.</t>
  </si>
  <si>
    <t>6. Еженедельный цикл</t>
  </si>
  <si>
    <t>Проверяем цифры, ход внедрения, корректируем решения.</t>
  </si>
  <si>
    <t>Выгрузка по фильтрам</t>
  </si>
  <si>
    <t xml:space="preserve">ID / Имя </t>
  </si>
  <si>
    <t>17140526372 ТЦ Ромашка</t>
  </si>
  <si>
    <t>Ожидает подписания</t>
  </si>
  <si>
    <t>Пётр</t>
  </si>
  <si>
    <t>Ул водостокина</t>
  </si>
  <si>
    <t>АРИЗ</t>
  </si>
  <si>
    <t>17140526373 ТРЦ копыта</t>
  </si>
  <si>
    <t>0. Операционная система:</t>
  </si>
  <si>
    <t>Собственник собирает данные с помощью АМО, таблиц гугл и записей дизайнеров, чтобы определить план и факт зарплат по месяцу и зафиксировать факт выплат по зарплатам в кассе бизнеса</t>
  </si>
  <si>
    <t>1. Проблема:</t>
  </si>
  <si>
    <t>Соственник использует до 3-х дней на сбор, высчитывание, выплату и перенос данных о выплатах в кассу</t>
  </si>
  <si>
    <t>Ул нижние мнёвники</t>
  </si>
  <si>
    <t>17120326111 Евгений Полбина</t>
  </si>
  <si>
    <t>Подписан и передан в бухгалтерию</t>
  </si>
  <si>
    <t>Василий</t>
  </si>
  <si>
    <t>2. Что хотим улучшить:</t>
  </si>
  <si>
    <t>1.	№ и название объекта
2.	№ Договора и дата
Дата подписания договора
Дата окончания договора (планируемая дата окончания работ)
Сумма
(конечная цель подписан и наш оригинал в офисе) 
3.	Доп. Соглашение №, дата, сумма, срок 
4.	КС2,3 № и дата
5.	Статус КС – где в этот момент времени находится, кто передал, кому, кто должен подписать-передать (конечная цель подписаны и наш оригинал в офисе) 
6.	Оплата КС (счет № от, сумма) – оплачен/не оплачен – срок планируемой оплаты (краткий комментарий) и кто за это отвечает ЛПР (кого торопить с оплатами)  -цель как можно скорее получить оплату
7.	Исполнительная документация – сдана или нет (подписана), комментарий – кто ответственный и лпр
8.	Наличие гарантийного удержания в договоре (есть/нет и какие условия оплаты, когда обещают)
9.	Акт приемки-передачи работ окончательный – подписан, нет, где находится, что мешает подписать, кого дергать
10.	Статус объекта – закрыт, завозится оборудование, приостановлен или действующий</t>
  </si>
  <si>
    <t>Сократить время подсчёта и выплат зарплат без потери точности расчёта в кассе и ДДС</t>
  </si>
  <si>
    <t>3. Что из-за этого ухудшается (вредный эффект):</t>
  </si>
  <si>
    <t xml:space="preserve">17280526101 Владимир </t>
  </si>
  <si>
    <t>1. Длительность задачи по выплатам зарплат занимает 3 дня
2. Оплата происходит с задержкой 3 дня
3. Возникает риск пропустить оплату
4. Возникает риск снизить веру сотрудников в надёжности компании
5. Руководитель не видит оперативно - сколько нужно оплатить и сколько нужно внести в ДДС
6. У руководителя отнимается 3 рабочих дня из 20 для более фокусных и полезных задач:  улучшения и масштабирования бизнеса</t>
  </si>
  <si>
    <t>4. Противоречие:</t>
  </si>
  <si>
    <t>Техническое противоречие: Чтобы правильно рассчитать зарплату и ДДС, нужно детально учитывать по каждому объекту акт, сумму, сотрудника, дату и условие выплаты.
Но подробный ручной учёт этих данных в нескольких таблицах делает расчёт слишком долгим и зависимым от собственника.
Физическое противоречие: Один факт оплаты или подписания акта должен быть детально отражён сразу во всех нужных разрезах — сотрудник, объект, зарплата, касса — и при этом не должен вводиться вручную несколько раз.</t>
  </si>
  <si>
    <t>5. Идеальный конечный результат:</t>
  </si>
  <si>
    <t>После появления факта подписанного акта или оплаты клиента система сама определяет объект, сотрудника, правило начисления и сумму выплаты.
Собственник видит готовый список начислений и исключений, подтверждает факт выплаты один раз, а данные автоматически отражаются и в зарплате, и в кассе.</t>
  </si>
  <si>
    <t>17280526102 Владимир</t>
  </si>
  <si>
    <t>6. Какие ресурсы уже есть:</t>
  </si>
  <si>
    <t>Данные: ID проектов, суммы КП, акты, оплаты клиентов, даты, таблицы условий расчёта, история выплат, распределение объектов между дизайнерами.
Люди: дизайнеры, которые уже фиксируют акты и поступление денег; собственник, который подтверждает исключения и выплаты.
Инструменты: amoCRM, Google Sheets, документы сотрудников, таблица касс.
События процесса: подписание акта, поступление денег, назначение сотрудника на объект, выплата зарплаты.</t>
  </si>
  <si>
    <t>7. 5 решений через приёмы ТРИЗ:</t>
  </si>
  <si>
    <t>Приём ТРИЗ</t>
  </si>
  <si>
    <t>Разделение во времени</t>
  </si>
  <si>
    <t>Динамичность</t>
  </si>
  <si>
    <t>VSM / Service Blueprint</t>
  </si>
  <si>
    <t>Посредник</t>
  </si>
  <si>
    <t>Путь клиента при получении услуги: Дизайн-Ремонт</t>
  </si>
  <si>
    <t>Копирование</t>
  </si>
  <si>
    <t>Действие клиента</t>
  </si>
  <si>
    <t>Цель</t>
  </si>
  <si>
    <t>Что клиент получает от компании</t>
  </si>
  <si>
    <t>Канал контакта</t>
  </si>
  <si>
    <t>Ожидание клиента</t>
  </si>
  <si>
    <t>Риск / проблема</t>
  </si>
  <si>
    <t>Дробление</t>
  </si>
  <si>
    <t>Где проверить / факт</t>
  </si>
  <si>
    <t>Осознаёт потребность в дизайне / ремонте</t>
  </si>
  <si>
    <t>Улучшить условия жизни</t>
  </si>
  <si>
    <t>Обратная связь</t>
  </si>
  <si>
    <t>Ищет и сравнивает компании</t>
  </si>
  <si>
    <t>Самообслуживание</t>
  </si>
  <si>
    <t>Определить лучшее предложение от компании</t>
  </si>
  <si>
    <t>Предварительное действие</t>
  </si>
  <si>
    <t>Оставил заявку</t>
  </si>
  <si>
    <t>Получить подробности по необходимой услуге</t>
  </si>
  <si>
    <t>Базовую информацию по потребности: выполнение услуги, минимальная информация по цене, этапам, базовым потребностям: гарантии, безопасность, подключность, бюджет, сроки</t>
  </si>
  <si>
    <t>8. Самое простое решение для теста:</t>
  </si>
  <si>
    <t>Разделение во времени
Динамичность</t>
  </si>
  <si>
    <t>Контакт с КЦ</t>
  </si>
  <si>
    <t>1. Узнать подробности, которые не нашёл при ознакомлении с компанией
2. Назначить замер, заказать специалиста для оценки его квартиры</t>
  </si>
  <si>
    <t>Дату и время замера, диапазон цен от до, общую информацию по дизайну чтобы закрыть потребности: бюджет, под ключ, сроки, безопасность</t>
  </si>
  <si>
    <t>9. Как измерим эффект:</t>
  </si>
  <si>
    <t>Количество зависших клиентов меньше. Как считать зависшего клиента?
Выше процент клиентов дошедших до активного статуса продажи
Цена и КП помогает клиенту дойти до активной продажи чаще
Финальная цена не отличается сильно от приценочной</t>
  </si>
  <si>
    <t>Прошёл замер / обсудил квартиру и задачу</t>
  </si>
  <si>
    <t>1. Получить понимание по осуществлению услуги и ремонта
2. Получить КП</t>
  </si>
  <si>
    <t xml:space="preserve">Узнаёт специалиста, с которым будет работать, понимает насколько приятно взаимодействовать со специалистом, узнаёт точно цену по услуге, узнают полную стоимость КП, </t>
  </si>
  <si>
    <t>Изучает и сравнивает предложение</t>
  </si>
  <si>
    <t>Выбрать лучшее предложение</t>
  </si>
  <si>
    <t>Выбирает, доверить ли компании дизайн-проект</t>
  </si>
  <si>
    <t>Окончательно проавлидировать компанию на соответствие своему запросу</t>
  </si>
  <si>
    <t>Оперативные зоны</t>
  </si>
  <si>
    <t>Оформляет договор на дизайн-проект</t>
  </si>
  <si>
    <t>Школа</t>
  </si>
  <si>
    <t>Оперативная зона</t>
  </si>
  <si>
    <t>Уязвимость</t>
  </si>
  <si>
    <t>Последствие</t>
  </si>
  <si>
    <t>Закрепить решение в официальной форме, обезопасить себя, зафиксировать цену</t>
  </si>
  <si>
    <t>Желаемое изменение</t>
  </si>
  <si>
    <t>Формирование плановой суммы по объекту.</t>
  </si>
  <si>
    <t>Сотрудники вручную вписывают данные по общей стоимости дизайн проекта в разных источниках данных</t>
  </si>
  <si>
    <t>1. Риск отсутствия исчерпывающих данных по требуемых выполнения обязательств
2. Риск потери данных по объекту при переносе в процессе подсчёта План-Факта</t>
  </si>
  <si>
    <t>Сотрудник имеет возможность легко записать исчерпывающую информацию для формирования плана по объекту в удобно сформированном пространстве (таблица-АМОсрм), в которой будет автоматически сообщаться о незаполненных данных: Заказанные услуги, Тариф, Ответственного за конкретную часть работы</t>
  </si>
  <si>
    <t>Ремонт %</t>
  </si>
  <si>
    <t>Фиксация факта акта / оплаты клиента.</t>
  </si>
  <si>
    <t>Факт подписания акта или поступления денег фиксируется в личных документах сотрудников либо вносится без единой структуры. Затем данные вручную переносятся в расчёт зарплат. Нет обязательной связи с ID объекта, датой, суммой, типом события и основанием начисления.</t>
  </si>
  <si>
    <t>Участвует в создании и согласовании дизайн-проекта</t>
  </si>
  <si>
    <t>1. Есть риск, что по объекту не будут зафиксированы все будущие обязательства. 
2. При переносе данных и расчёте план-факта возможны потеря информации, дубли и расхождения. 
3. Собственнику приходится вручную уточнять данные перед расчётом зарплаты и ДДС.</t>
  </si>
  <si>
    <t>Реализовать дизайн согласно своим ожиданиям</t>
  </si>
  <si>
    <t>Каждый факт акта или оплаты фиксируется один раз в единой записи, связанной с ID объекта. Обязательные поля: тип события, дата, сумма, объект, этап/услуга, подтверждающий документ или комментарий, статус. После фиксации факт становится доступен для расчёта начислений без повторного ручного переноса.</t>
  </si>
  <si>
    <t>Привязка факта к сотруднику, периоду и правилу начисления.</t>
  </si>
  <si>
    <t>Нет единого механизма, который связывает выполненную работу или подписанный акт с конкретным объектом, услугой, ответственным сотрудником, периодом и правилом мотивации. При нетипичных случаях решение принимается вручную и может не быть зафиксировано единообразно.</t>
  </si>
  <si>
    <t>1. Есть риск начислить оплату не тому сотруднику или не за ту работу. 2. Нетиповые начисления могут быть потеряны либо сохранены только в личной таблице сотрудника. 3. Собственник вынужден вручную восстанавливать логику начисления перед выплатой и отражением данных в ДДС.</t>
  </si>
  <si>
    <t>Выбирает и сравнивает подрядчиков по ремонту</t>
  </si>
  <si>
    <t>Каждое начисление фиксируется отдельной записью, связанной с ID объекта. В записи указаны: сотрудник, объект, услуга или этап работ, основание начисления, правило мотивации, расчётный период, сумма начисления, дата возникновения и статус. Нетиповое начисление фиксируется по той же структуре с обязательным комментарием или подтверждением.</t>
  </si>
  <si>
    <t xml:space="preserve">РОП </t>
  </si>
  <si>
    <t>Оформляет договор по ремонту</t>
  </si>
  <si>
    <t>Подтверждение выплаты и отражение её в кассе.</t>
  </si>
  <si>
    <t>После выплаты сотруднику факт выплаты вручную переносится в кассу. Между расчётом зарплаты и записью расхода в ДДС нет единой связанной операции.</t>
  </si>
  <si>
    <t>1. Возможны пропуск, дубль или неверная сумма расхода в кассе. 2. ДДС отражает обязательства и фактические выплаты с задержкой или расхождением. 3. Возникает риск ошибочного прогноза денег и кассового разрыва.</t>
  </si>
  <si>
    <t>После подтверждения выплаты создаётся единая запись факта выплаты: сотрудник, сумма, дата, период, основание, объект или список объектов, способ оплаты и статус. Эта запись автоматически создаёт или готовит связанную операцию расхода для кассы, чтобы собственнику оставалось только проверить и подтвердить её.</t>
  </si>
  <si>
    <t>Принимает готовый ремонт</t>
  </si>
  <si>
    <t>Реализовать ремонт согласно своим ожиданиям</t>
  </si>
  <si>
    <t>Оценивает опыт и рекомендует компанию</t>
  </si>
  <si>
    <t>Подвести итоги проекта по дизайну и ремонту квартир</t>
  </si>
  <si>
    <t>Материал</t>
  </si>
  <si>
    <t>Всего</t>
  </si>
  <si>
    <t>Сервис</t>
  </si>
  <si>
    <t>Дата окончания</t>
  </si>
  <si>
    <t>Стоимость за период</t>
  </si>
  <si>
    <t>"1.	№ и название объекта
2.	№ Договора и дата
Дата подписания договора
Дата окончания договора (планируемая дата окончания работ)
Сумма
(конечная цель подписан и наш оригинал в офисе) 
3.	Доп. Соглашение №, дата, сумма, срок 
4.	КС2,3 № и дата
5.	Статус КС – где в этот момент времени находится, кто передал, кому, кто должен подписать-передать (конечная цель подписаны и наш оригинал в офисе) 
6.	Оплата КС (счет № от, сумма) – оплачен/не оплачен – срок планируемой оплаты (краткий комментарий) и кто за это отвечает ЛПР (кого торопить с оплатами)  -цель как можно скорее получить оплату
7.	Исполнительная документация – сдана или нет (подписана), комментарий – кто ответственный и лпр
8.	Наличие гарантийного удержания в договоре (есть/нет и какие условия оплаты, когда обещают)
9.	Акт приемки-передачи работ окончательный – подписан, нет, где находится, что мешает подписать, кого дергать
10.	Статус объекта – закрыт, завозится оборудование, приостановлен или действующий"</t>
  </si>
  <si>
    <t>Аккаунт</t>
  </si>
  <si>
    <t>Пароль</t>
  </si>
  <si>
    <t>Секретное слово</t>
  </si>
  <si>
    <t>Владелец</t>
  </si>
  <si>
    <t>Связь с владельцем</t>
  </si>
  <si>
    <t>Мегафон ВАТС телефония</t>
  </si>
  <si>
    <t>Предположительная стоимость</t>
  </si>
  <si>
    <t>Сводная по Сквозной аналитике</t>
  </si>
  <si>
    <t>admin@vats619384.megapbx.ru</t>
  </si>
  <si>
    <t>https://docs.google.com/spreadsheets/d/1TUPcrqR-7ufoQ0yjpIHuYjuT-XmAkfEPCgDdcbZy43s/edit?gid=1308222255#gid=1308222255</t>
  </si>
  <si>
    <t>swYwFl</t>
  </si>
  <si>
    <t>профкук</t>
  </si>
  <si>
    <t>Макс</t>
  </si>
  <si>
    <t>+79251655400</t>
  </si>
  <si>
    <r>
      <rPr/>
      <t xml:space="preserve">Адрес для входа </t>
    </r>
    <r>
      <rPr>
        <color rgb="FF1155CC"/>
        <u/>
      </rPr>
      <t>https://vats619384.megapbx.ru</t>
    </r>
    <r>
      <rPr/>
      <t xml:space="preserve"> 
Нужен СМС от номера 5400. Находится у проихводственника Макса</t>
    </r>
  </si>
  <si>
    <t>Номер документа</t>
  </si>
  <si>
    <t>Отвественный</t>
  </si>
  <si>
    <t>Дата начала</t>
  </si>
  <si>
    <t>Дата Окончания</t>
  </si>
  <si>
    <t>Всего документов</t>
  </si>
  <si>
    <t>Подписан и отправлен в производство</t>
  </si>
  <si>
    <t>Развертка</t>
  </si>
  <si>
    <t>Мегафон Бизнес</t>
  </si>
  <si>
    <t>6Wb-JUc-zJP-5ww</t>
  </si>
  <si>
    <t>Андрей</t>
  </si>
  <si>
    <t>Что чаще ломается</t>
  </si>
  <si>
    <t>Раздел</t>
  </si>
  <si>
    <t>+7 926 207 9611</t>
  </si>
  <si>
    <t>Лиды не попадают/теряются</t>
  </si>
  <si>
    <r>
      <rPr/>
      <t xml:space="preserve">Аккаунт мегафон - заходить через сайт </t>
    </r>
    <r>
      <rPr>
        <color rgb="FF1155CC"/>
        <u/>
      </rPr>
      <t>b2blk.megafon.ru</t>
    </r>
  </si>
  <si>
    <t>Вопрос</t>
  </si>
  <si>
    <t>Варианты</t>
  </si>
  <si>
    <t>Ответ</t>
  </si>
  <si>
    <t>Нет ответственных / «ничьи» сделки</t>
  </si>
  <si>
    <t>Цели</t>
  </si>
  <si>
    <t>Главная цель использования amoCRM</t>
  </si>
  <si>
    <t>Нет задач по сделкам / задачи просрочены</t>
  </si>
  <si>
    <t>Болевые точки</t>
  </si>
  <si>
    <t>amoCRM</t>
  </si>
  <si>
    <t>Что чаще всего ломается?</t>
  </si>
  <si>
    <t>Поля не заполнены на этапах</t>
  </si>
  <si>
    <t>kitchencrm@gmail.com</t>
  </si>
  <si>
    <t>Лиды не попадают/теряются; Нет ответственных / «ничьи» сделки; Нет задач по сделкам / задачи просрочены; Поля не заполнены на этапах; Этапы не отражают реальность (зависают/пропуски); Дубли контактов/сделок; Телефония/мессенджеры нестабильны; Нет нужных отчётов/дашбордов; Данные «грязные» — не доверяю цифрам; Другое: ________</t>
  </si>
  <si>
    <t>ki02080208KI</t>
  </si>
  <si>
    <t>Этапы не отражают реальность (зависают/пропуски)</t>
  </si>
  <si>
    <t>Доверие данным</t>
  </si>
  <si>
    <t>Доступы на админку у Сергея</t>
  </si>
  <si>
    <t>Какой уровень доверия к АМО?</t>
  </si>
  <si>
    <t>Дубли контактов/сделок</t>
  </si>
  <si>
    <t>Заполнение полей</t>
  </si>
  <si>
    <t>Телефония/мессенджеры нестабильны</t>
  </si>
  <si>
    <t>Какие поля чаще всего оказываются пустыми или неправильно заполненными при продвижении сделки?</t>
  </si>
  <si>
    <t>Источник лида; Телефон/контакт; Адрес / метраж кухни; Бюджет / смета; Дата замера; Ответственный / роль; Прочее: ________</t>
  </si>
  <si>
    <t>Нет нужных отчётов/дашбордов</t>
  </si>
  <si>
    <t>Ошибки менеджеров</t>
  </si>
  <si>
    <t>Какие ошибки менеджеров повторяются чаще всего?</t>
  </si>
  <si>
    <t>Переход на этап без обязательных полей; Нет задачи после контакта; Не переносят итоги звонка/встречи в карточку; Закрывают «Отказ» без причины; Забывают ставить «Замер»/«КП»; Другое: ________</t>
  </si>
  <si>
    <t>Данные «грязные» — не доверяю цифрам</t>
  </si>
  <si>
    <t>Отчёты/метрики</t>
  </si>
  <si>
    <t>Каких отчётов/показателей не хватает для решений?</t>
  </si>
  <si>
    <t>Лиды за период и источники; Конверсия «Лид → Замер»; Конверсия «КП → Договор»; Средний чек / выручка по этапам; Просроченные задачи / «проблемные» сделки; Эффективность менеджеров; Другое: ________</t>
  </si>
  <si>
    <t>Другое: ________</t>
  </si>
  <si>
    <t>Затраты времени</t>
  </si>
  <si>
    <t>Сколько времени уходит в неделю на проверку и «дочистку» данных?</t>
  </si>
  <si>
    <t>&lt; 30 минут; 30–60 минут; 1–2 часа; 2–3 часа; &gt; 3 часов</t>
  </si>
  <si>
    <t>Быстрые победы</t>
  </si>
  <si>
    <t>Что считать «быстрой победой» за 7 дней? (несколько)</t>
  </si>
  <si>
    <t>Обязательные поля на ключевых этапах; Списки «проблемных» сделок (без задач/ответственного/полей); Мини-дашборд с 5–6 метриками; Уведомления руководителю о критических нарушениях; Короткая инструкция для отдела; Другое: ________</t>
  </si>
  <si>
    <t>Приоритеты</t>
  </si>
  <si>
    <t>Топ-3 проблемы на ближайший месяц — приоритет №1, 2, 3</t>
  </si>
  <si>
    <t>Критерии успеха</t>
  </si>
  <si>
    <t>Как поймёшь что стало лучше?</t>
  </si>
  <si>
    <t>Показывать список всех объектов</t>
  </si>
  <si>
    <t>КАС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</si>
</sst>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[$ ₽]"/>
    <numFmt numFmtId="165" formatCode="d&quot;.&quot;m&quot;.&quot;yyyy"/>
    <numFmt numFmtId="166" formatCode="dd&quot;.&quot;mm&quot;.&quot;yyyy"/>
    <numFmt numFmtId="167" formatCode="d-m"/>
    <numFmt numFmtId="168" formatCode="dd/MM/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rgb="FFE0E1DD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b/>
      <sz val="11.0"/>
      <color theme="1"/>
      <name val="Arial"/>
    </font>
    <font>
      <b/>
      <color theme="1"/>
      <name val="Arial"/>
    </font>
    <font>
      <b/>
      <color rgb="FFE0E1DD"/>
      <name val="Arial"/>
      <scheme val="minor"/>
    </font>
    <font>
      <b/>
      <u/>
      <color rgb="FF0000FF"/>
    </font>
    <font>
      <u/>
      <color rgb="FF0000FF"/>
    </font>
    <font>
      <b/>
      <sz val="15.0"/>
      <color theme="1"/>
      <name val="Arial"/>
    </font>
    <font>
      <b/>
      <sz val="13.0"/>
      <color rgb="FFE0E1DD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DEDE9"/>
        <bgColor rgb="FFEDEDE9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A2C4C9"/>
        <bgColor rgb="FFA2C4C9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415A77"/>
        <bgColor rgb="FF415A77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2" fontId="1" numFmtId="0" xfId="0" applyFill="1" applyFont="1"/>
    <xf borderId="0" fillId="2" fontId="3" numFmtId="0" xfId="0" applyAlignment="1" applyFont="1">
      <alignment horizontal="center" readingOrder="0"/>
    </xf>
    <xf borderId="0" fillId="2" fontId="1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Fill="1" applyFont="1"/>
    <xf borderId="0" fillId="2" fontId="1" numFmtId="0" xfId="0" applyAlignment="1" applyFont="1">
      <alignment readingOrder="0"/>
    </xf>
    <xf borderId="1" fillId="8" fontId="1" numFmtId="0" xfId="0" applyAlignment="1" applyBorder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1" fillId="2" fontId="4" numFmtId="0" xfId="0" applyAlignment="1" applyBorder="1" applyFont="1">
      <alignment readingOrder="0"/>
    </xf>
    <xf borderId="1" fillId="2" fontId="4" numFmtId="164" xfId="0" applyAlignment="1" applyBorder="1" applyFont="1" applyNumberFormat="1">
      <alignment readingOrder="0"/>
    </xf>
    <xf borderId="1" fillId="2" fontId="5" numFmtId="0" xfId="0" applyAlignment="1" applyBorder="1" applyFont="1">
      <alignment readingOrder="0"/>
    </xf>
    <xf borderId="2" fillId="3" fontId="1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3" fillId="2" fontId="3" numFmtId="0" xfId="0" applyAlignment="1" applyBorder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1" numFmtId="0" xfId="0" applyAlignment="1" applyFill="1" applyFont="1">
      <alignment readingOrder="0"/>
    </xf>
    <xf borderId="0" fillId="10" fontId="6" numFmtId="0" xfId="0" applyAlignment="1" applyFont="1">
      <alignment horizontal="center"/>
    </xf>
    <xf borderId="0" fillId="10" fontId="6" numFmtId="49" xfId="0" applyAlignment="1" applyFont="1" applyNumberFormat="1">
      <alignment horizontal="center"/>
    </xf>
    <xf borderId="0" fillId="10" fontId="6" numFmtId="49" xfId="0" applyAlignment="1" applyFont="1" applyNumberFormat="1">
      <alignment horizontal="center" readingOrder="0"/>
    </xf>
    <xf borderId="4" fillId="2" fontId="1" numFmtId="0" xfId="0" applyAlignment="1" applyBorder="1" applyFont="1">
      <alignment readingOrder="0"/>
    </xf>
    <xf borderId="0" fillId="2" fontId="1" numFmtId="1" xfId="0" applyAlignment="1" applyFont="1" applyNumberFormat="1">
      <alignment shrinkToFit="0" wrapText="1"/>
    </xf>
    <xf borderId="0" fillId="2" fontId="1" numFmtId="0" xfId="0" applyFont="1"/>
    <xf borderId="0" fillId="2" fontId="1" numFmtId="0" xfId="0" applyAlignment="1" applyFont="1">
      <alignment shrinkToFit="0" wrapText="1"/>
    </xf>
    <xf borderId="2" fillId="2" fontId="1" numFmtId="0" xfId="0" applyAlignment="1" applyBorder="1" applyFont="1">
      <alignment readingOrder="0" shrinkToFit="0" wrapText="1"/>
    </xf>
    <xf borderId="0" fillId="2" fontId="1" numFmtId="49" xfId="0" applyFont="1" applyNumberFormat="1"/>
    <xf borderId="0" fillId="2" fontId="1" numFmtId="165" xfId="0" applyAlignment="1" applyFont="1" applyNumberFormat="1">
      <alignment readingOrder="0"/>
    </xf>
    <xf borderId="4" fillId="2" fontId="1" numFmtId="0" xfId="0" applyAlignment="1" applyBorder="1" applyFont="1">
      <alignment readingOrder="0" shrinkToFit="0" wrapText="1"/>
    </xf>
    <xf borderId="0" fillId="2" fontId="1" numFmtId="49" xfId="0" applyAlignment="1" applyFont="1" applyNumberFormat="1">
      <alignment shrinkToFit="0" wrapText="1"/>
    </xf>
    <xf borderId="2" fillId="2" fontId="1" numFmtId="0" xfId="0" applyAlignment="1" applyBorder="1" applyFon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4" fillId="2" fontId="1" numFmtId="0" xfId="0" applyAlignment="1" applyBorder="1" applyFont="1">
      <alignment horizontal="left" readingOrder="0" shrinkToFit="0" vertical="top" wrapText="1"/>
    </xf>
    <xf borderId="0" fillId="2" fontId="1" numFmtId="0" xfId="0" applyAlignment="1" applyFont="1">
      <alignment shrinkToFit="0" wrapText="1"/>
    </xf>
    <xf borderId="2" fillId="2" fontId="2" numFmtId="0" xfId="0" applyAlignment="1" applyBorder="1" applyFont="1">
      <alignment readingOrder="0"/>
    </xf>
    <xf borderId="0" fillId="2" fontId="7" numFmtId="0" xfId="0" applyAlignment="1" applyFont="1">
      <alignment vertical="bottom"/>
    </xf>
    <xf borderId="0" fillId="2" fontId="1" numFmtId="0" xfId="0" applyAlignment="1" applyFont="1">
      <alignment horizontal="left" shrinkToFit="0" vertical="top" wrapText="1"/>
    </xf>
    <xf borderId="2" fillId="2" fontId="1" numFmtId="164" xfId="0" applyAlignment="1" applyBorder="1" applyFont="1" applyNumberFormat="1">
      <alignment readingOrder="0" shrinkToFit="0" wrapText="1"/>
    </xf>
    <xf borderId="0" fillId="2" fontId="7" numFmtId="0" xfId="0" applyAlignment="1" applyFont="1">
      <alignment vertical="bottom"/>
    </xf>
    <xf borderId="2" fillId="2" fontId="2" numFmtId="0" xfId="0" applyAlignment="1" applyBorder="1" applyFont="1">
      <alignment horizontal="left" readingOrder="0" shrinkToFit="0" vertical="top" wrapText="1"/>
    </xf>
    <xf borderId="4" fillId="2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left" shrinkToFit="0" vertical="top" wrapText="1"/>
    </xf>
    <xf borderId="0" fillId="10" fontId="6" numFmtId="1" xfId="0" applyAlignment="1" applyFont="1" applyNumberFormat="1">
      <alignment horizontal="center" readingOrder="0"/>
    </xf>
    <xf borderId="0" fillId="10" fontId="6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1" numFmtId="49" xfId="0" applyAlignment="1" applyFont="1" applyNumberFormat="1">
      <alignment readingOrder="0"/>
    </xf>
    <xf borderId="0" fillId="2" fontId="1" numFmtId="1" xfId="0" applyAlignment="1" applyFont="1" applyNumberFormat="1">
      <alignment readingOrder="0" shrinkToFit="0" wrapText="1"/>
    </xf>
    <xf borderId="0" fillId="2" fontId="1" numFmtId="0" xfId="0" applyAlignment="1" applyFont="1">
      <alignment horizontal="center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 shrinkToFit="0" wrapText="1"/>
    </xf>
    <xf borderId="0" fillId="2" fontId="2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8" fillId="2" fontId="5" numFmtId="0" xfId="0" applyAlignment="1" applyBorder="1" applyFont="1">
      <alignment readingOrder="0" shrinkToFit="0" wrapText="1"/>
    </xf>
    <xf borderId="9" fillId="2" fontId="5" numFmtId="0" xfId="0" applyAlignment="1" applyBorder="1" applyFont="1">
      <alignment readingOrder="0" shrinkToFit="0" wrapText="1"/>
    </xf>
    <xf borderId="9" fillId="2" fontId="5" numFmtId="0" xfId="0" applyAlignment="1" applyBorder="1" applyFont="1">
      <alignment readingOrder="0"/>
    </xf>
    <xf borderId="10" fillId="2" fontId="5" numFmtId="0" xfId="0" applyAlignment="1" applyBorder="1" applyFont="1">
      <alignment readingOrder="0"/>
    </xf>
    <xf borderId="5" fillId="2" fontId="1" numFmtId="164" xfId="0" applyAlignment="1" applyBorder="1" applyFont="1" applyNumberFormat="1">
      <alignment readingOrder="0" shrinkToFit="0" wrapText="1"/>
    </xf>
    <xf borderId="6" fillId="2" fontId="1" numFmtId="164" xfId="0" applyAlignment="1" applyBorder="1" applyFont="1" applyNumberFormat="1">
      <alignment readingOrder="0" shrinkToFit="0" wrapText="1"/>
    </xf>
    <xf borderId="6" fillId="2" fontId="1" numFmtId="164" xfId="0" applyAlignment="1" applyBorder="1" applyFont="1" applyNumberFormat="1">
      <alignment readingOrder="0"/>
    </xf>
    <xf borderId="7" fillId="2" fontId="1" numFmtId="164" xfId="0" applyAlignment="1" applyBorder="1" applyFont="1" applyNumberFormat="1">
      <alignment readingOrder="0"/>
    </xf>
    <xf borderId="1" fillId="2" fontId="2" numFmtId="3" xfId="0" applyAlignment="1" applyBorder="1" applyFont="1" applyNumberFormat="1">
      <alignment readingOrder="0"/>
    </xf>
    <xf borderId="11" fillId="0" fontId="7" numFmtId="0" xfId="0" applyAlignment="1" applyBorder="1" applyFont="1">
      <alignment vertical="bottom"/>
    </xf>
    <xf borderId="12" fillId="12" fontId="10" numFmtId="0" xfId="0" applyAlignment="1" applyBorder="1" applyFill="1" applyFont="1">
      <alignment horizontal="center" vertical="bottom"/>
    </xf>
    <xf borderId="13" fillId="12" fontId="10" numFmtId="0" xfId="0" applyAlignment="1" applyBorder="1" applyFont="1">
      <alignment horizontal="center" vertical="bottom"/>
    </xf>
    <xf borderId="14" fillId="12" fontId="10" numFmtId="0" xfId="0" applyAlignment="1" applyBorder="1" applyFont="1">
      <alignment horizontal="center" vertical="bottom"/>
    </xf>
    <xf borderId="15" fillId="13" fontId="11" numFmtId="0" xfId="0" applyAlignment="1" applyBorder="1" applyFill="1" applyFont="1">
      <alignment horizontal="center" vertical="bottom"/>
    </xf>
    <xf borderId="15" fillId="13" fontId="11" numFmtId="0" xfId="0" applyAlignment="1" applyBorder="1" applyFont="1">
      <alignment horizontal="center" readingOrder="0" vertical="bottom"/>
    </xf>
    <xf borderId="15" fillId="13" fontId="11" numFmtId="0" xfId="0" applyAlignment="1" applyBorder="1" applyFont="1">
      <alignment horizontal="center" readingOrder="0" shrinkToFit="0" vertical="bottom" wrapText="1"/>
    </xf>
    <xf borderId="15" fillId="14" fontId="7" numFmtId="0" xfId="0" applyAlignment="1" applyBorder="1" applyFill="1" applyFont="1">
      <alignment vertical="bottom"/>
    </xf>
    <xf borderId="12" fillId="14" fontId="7" numFmtId="0" xfId="0" applyAlignment="1" applyBorder="1" applyFont="1">
      <alignment vertical="bottom"/>
    </xf>
    <xf borderId="13" fillId="14" fontId="7" numFmtId="0" xfId="0" applyAlignment="1" applyBorder="1" applyFont="1">
      <alignment vertical="bottom"/>
    </xf>
    <xf borderId="15" fillId="15" fontId="7" numFmtId="0" xfId="0" applyAlignment="1" applyBorder="1" applyFill="1" applyFont="1">
      <alignment readingOrder="0" vertical="bottom"/>
    </xf>
    <xf borderId="15" fillId="0" fontId="7" numFmtId="0" xfId="0" applyAlignment="1" applyBorder="1" applyFont="1">
      <alignment readingOrder="0" vertical="bottom"/>
    </xf>
    <xf borderId="15" fillId="15" fontId="7" numFmtId="49" xfId="0" applyAlignment="1" applyBorder="1" applyFont="1" applyNumberFormat="1">
      <alignment readingOrder="0" vertical="bottom"/>
    </xf>
    <xf borderId="15" fillId="15" fontId="7" numFmtId="0" xfId="0" applyAlignment="1" applyBorder="1" applyFont="1">
      <alignment vertical="bottom"/>
    </xf>
    <xf borderId="15" fillId="0" fontId="7" numFmtId="0" xfId="0" applyAlignment="1" applyBorder="1" applyFont="1">
      <alignment vertical="bottom"/>
    </xf>
    <xf borderId="15" fillId="15" fontId="7" numFmtId="49" xfId="0" applyAlignment="1" applyBorder="1" applyFont="1" applyNumberFormat="1">
      <alignment vertical="bottom"/>
    </xf>
    <xf borderId="16" fillId="2" fontId="1" numFmtId="0" xfId="0" applyAlignment="1" applyBorder="1" applyFont="1">
      <alignment readingOrder="0" shrinkToFit="0" wrapText="1"/>
    </xf>
    <xf borderId="15" fillId="6" fontId="11" numFmtId="0" xfId="0" applyAlignment="1" applyBorder="1" applyFont="1">
      <alignment vertical="bottom"/>
    </xf>
    <xf borderId="15" fillId="6" fontId="7" numFmtId="0" xfId="0" applyAlignment="1" applyBorder="1" applyFont="1">
      <alignment vertical="bottom"/>
    </xf>
    <xf borderId="15" fillId="6" fontId="7" numFmtId="49" xfId="0" applyAlignment="1" applyBorder="1" applyFont="1" applyNumberFormat="1">
      <alignment vertical="bottom"/>
    </xf>
    <xf borderId="0" fillId="10" fontId="12" numFmtId="0" xfId="0" applyAlignment="1" applyFont="1">
      <alignment horizontal="center" readingOrder="0"/>
    </xf>
    <xf borderId="0" fillId="2" fontId="1" numFmtId="166" xfId="0" applyAlignment="1" applyFont="1" applyNumberFormat="1">
      <alignment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left" readingOrder="0"/>
    </xf>
    <xf quotePrefix="1" borderId="0" fillId="2" fontId="1" numFmtId="0" xfId="0" applyAlignment="1" applyFont="1">
      <alignment readingOrder="0"/>
    </xf>
    <xf borderId="0" fillId="2" fontId="13" numFmtId="164" xfId="0" applyAlignment="1" applyFont="1" applyNumberFormat="1">
      <alignment readingOrder="0" shrinkToFit="0" wrapText="0"/>
    </xf>
    <xf borderId="0" fillId="2" fontId="2" numFmtId="164" xfId="0" applyAlignment="1" applyFont="1" applyNumberFormat="1">
      <alignment readingOrder="0" shrinkToFit="0" wrapText="0"/>
    </xf>
    <xf borderId="0" fillId="2" fontId="14" numFmtId="0" xfId="0" applyAlignment="1" applyFont="1">
      <alignment readingOrder="0"/>
    </xf>
    <xf borderId="0" fillId="2" fontId="1" numFmtId="167" xfId="0" applyAlignment="1" applyFont="1" applyNumberFormat="1">
      <alignment readingOrder="0"/>
    </xf>
    <xf borderId="0" fillId="2" fontId="2" numFmtId="0" xfId="0" applyAlignment="1" applyFont="1">
      <alignment horizontal="left" readingOrder="0" shrinkToFit="0" vertical="top" wrapText="1"/>
    </xf>
    <xf borderId="0" fillId="2" fontId="1" numFmtId="166" xfId="0" applyFont="1" applyNumberFormat="1"/>
    <xf borderId="0" fillId="2" fontId="1" numFmtId="164" xfId="0" applyAlignment="1" applyFont="1" applyNumberFormat="1">
      <alignment readingOrder="0" shrinkToFit="0" wrapText="1"/>
    </xf>
    <xf borderId="0" fillId="2" fontId="1" numFmtId="0" xfId="0" applyAlignment="1" applyFont="1">
      <alignment horizontal="right"/>
    </xf>
    <xf borderId="0" fillId="2" fontId="15" numFmtId="0" xfId="0" applyAlignment="1" applyFont="1">
      <alignment horizontal="center" vertical="bottom"/>
    </xf>
    <xf borderId="0" fillId="2" fontId="7" numFmtId="0" xfId="0" applyAlignment="1" applyFont="1">
      <alignment vertical="bottom"/>
    </xf>
    <xf borderId="0" fillId="10" fontId="16" numFmtId="0" xfId="0" applyAlignment="1" applyFont="1">
      <alignment horizontal="center" vertical="bottom"/>
    </xf>
    <xf borderId="0" fillId="0" fontId="1" numFmtId="0" xfId="0" applyAlignment="1" applyFont="1">
      <alignment shrinkToFit="0" wrapText="1"/>
    </xf>
    <xf borderId="0" fillId="2" fontId="7" numFmtId="168" xfId="0" applyAlignment="1" applyFont="1" applyNumberFormat="1">
      <alignment horizontal="right" shrinkToFit="0" vertical="bottom" wrapText="1"/>
    </xf>
    <xf borderId="0" fillId="2" fontId="7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2">
    <dxf>
      <font>
        <color rgb="FFEBEFF1"/>
      </font>
      <fill>
        <patternFill patternType="solid">
          <fgColor rgb="FFFF0000"/>
          <bgColor rgb="FFFF0000"/>
        </patternFill>
      </fill>
      <border/>
    </dxf>
    <dxf>
      <font>
        <color rgb="FFEBEFF1"/>
      </font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0</xdr:rowOff>
    </xdr:from>
    <xdr:ext cx="1666875" cy="695325"/>
    <xdr:sp>
      <xdr:nvSpPr>
        <xdr:cNvPr id="3" name="Shape 3"/>
        <xdr:cNvSpPr/>
      </xdr:nvSpPr>
      <xdr:spPr>
        <a:xfrm>
          <a:off x="2001425" y="440325"/>
          <a:ext cx="2531700" cy="11409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Внести изменения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3</xdr:row>
      <xdr:rowOff>200025</xdr:rowOff>
    </xdr:from>
    <xdr:ext cx="1990725" cy="542925"/>
    <xdr:sp>
      <xdr:nvSpPr>
        <xdr:cNvPr id="4" name="Shape 4"/>
        <xdr:cNvSpPr/>
      </xdr:nvSpPr>
      <xdr:spPr>
        <a:xfrm>
          <a:off x="1621375" y="973225"/>
          <a:ext cx="1970400" cy="5274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Создать документы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857250</xdr:colOff>
      <xdr:row>2</xdr:row>
      <xdr:rowOff>38100</xdr:rowOff>
    </xdr:from>
    <xdr:ext cx="2714625" cy="733425"/>
    <xdr:sp>
      <xdr:nvSpPr>
        <xdr:cNvPr id="5" name="Shape 5"/>
        <xdr:cNvSpPr/>
      </xdr:nvSpPr>
      <xdr:spPr>
        <a:xfrm>
          <a:off x="2518575" y="742150"/>
          <a:ext cx="2700300" cy="7107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Подтвердить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7J-UhhicyR3-7kCkrfupJWCdHaT_ct1H#%7B%22pageId%22%3A%22SxgpPh8dIjoMLv4oxtXH%22%7D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xUL33B2WYVqVvwPXZuif4E8Li9_8_y0sxSlwFAsZU7GTxirUvDkmNrAttoREcx4LM1/exec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vats619384.megapbx.ru/" TargetMode="External"/><Relationship Id="rId2" Type="http://schemas.openxmlformats.org/officeDocument/2006/relationships/hyperlink" Target="http://b2blk.megafon.ru/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PcrqR-7ufoQ0yjpIHuYjuT-XmAkfEPCgDdcbZy43s/edit?gid=1308222255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14.0"/>
    <col customWidth="1" min="3" max="3" width="11.88"/>
    <col customWidth="1" min="4" max="4" width="22.0"/>
    <col customWidth="1" min="5" max="5" width="17.38"/>
    <col customWidth="1" min="6" max="6" width="12.75"/>
    <col customWidth="1" min="7" max="7" width="13.13"/>
    <col customWidth="1" min="8" max="8" width="12.88"/>
    <col customWidth="1" min="9" max="9" width="29.0"/>
    <col customWidth="1" min="10" max="10" width="14.38"/>
    <col customWidth="1" min="11" max="11" width="16.13"/>
    <col customWidth="1" min="12" max="12" width="15.13"/>
    <col customWidth="1" min="13" max="13" width="18.38"/>
  </cols>
  <sheetData>
    <row r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14">
      <c r="D14" s="3"/>
      <c r="E14" s="3"/>
      <c r="F14" s="3"/>
      <c r="G14" s="3"/>
      <c r="H14" s="3"/>
      <c r="I14" s="3"/>
      <c r="J14" s="3"/>
      <c r="K14" s="3"/>
    </row>
    <row r="26">
      <c r="D26" s="4"/>
      <c r="E26" s="4"/>
      <c r="F26" s="5"/>
      <c r="G26" s="6"/>
    </row>
    <row r="30">
      <c r="D30" s="4"/>
      <c r="E30" s="4"/>
      <c r="F30" s="5"/>
      <c r="G3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B2" s="2" t="s">
        <v>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5.25"/>
    <col customWidth="1" min="3" max="3" width="15.25"/>
    <col customWidth="1" min="4" max="4" width="32.5"/>
    <col customWidth="1" min="5" max="5" width="31.5"/>
    <col customWidth="1" min="6" max="6" width="16.5" outlineLevel="1"/>
    <col customWidth="1" min="7" max="7" width="17.88" outlineLevel="1"/>
    <col customWidth="1" min="8" max="8" width="15.75" outlineLevel="1"/>
    <col customWidth="1" min="9" max="9" width="30.88" outlineLevel="1"/>
    <col customWidth="1" min="10" max="10" width="37.38"/>
    <col customWidth="1" min="11" max="11" width="33.0"/>
    <col customWidth="1" min="12" max="12" width="23.88" outlineLevel="1"/>
    <col customWidth="1" min="13" max="13" width="34.25"/>
    <col customWidth="1" min="14" max="14" width="20.0" outlineLevel="1"/>
    <col customWidth="1" min="15" max="15" width="14.88" outlineLevel="1"/>
    <col customWidth="1" min="16" max="16" width="23.88" outlineLevel="1"/>
    <col customWidth="1" min="17" max="17" width="47.0"/>
    <col customWidth="1" min="18" max="18" width="27.0" outlineLevel="1"/>
    <col customWidth="1" min="19" max="20" width="28.38" outlineLevel="1"/>
    <col customWidth="1" min="21" max="21" width="38.0" outlineLevel="1"/>
    <col customWidth="1" min="22" max="22" width="28.38" outlineLevel="1"/>
    <col customWidth="1" min="23" max="23" width="18.63"/>
    <col customWidth="1" min="24" max="24" width="28.38" outlineLevel="1"/>
    <col customWidth="1" min="25" max="25" width="25.0" outlineLevel="1"/>
    <col customWidth="1" min="26" max="26" width="5.63"/>
    <col customWidth="1" min="27" max="27" width="5.5"/>
  </cols>
  <sheetData>
    <row r="1">
      <c r="A1" s="7"/>
      <c r="B1" s="7"/>
      <c r="C1" s="8"/>
      <c r="D1" s="8"/>
      <c r="E1" s="8"/>
      <c r="F1" s="8"/>
      <c r="G1" s="8"/>
      <c r="H1" s="8"/>
      <c r="I1" s="7"/>
      <c r="J1" s="8"/>
      <c r="K1" s="8"/>
      <c r="L1" s="8"/>
      <c r="M1" s="8"/>
      <c r="N1" s="8"/>
      <c r="O1" s="8"/>
      <c r="P1" s="8"/>
      <c r="Q1" s="8"/>
      <c r="R1" s="7"/>
      <c r="S1" s="7"/>
      <c r="T1" s="7"/>
      <c r="U1" s="7"/>
      <c r="V1" s="7"/>
      <c r="W1" s="8"/>
      <c r="X1" s="7"/>
      <c r="Y1" s="8"/>
      <c r="Z1" s="8"/>
      <c r="AA1" s="8"/>
    </row>
    <row r="2">
      <c r="A2" s="7"/>
      <c r="B2" s="9"/>
      <c r="C2" s="9"/>
      <c r="D2" s="9"/>
      <c r="E2" s="9" t="s">
        <v>33</v>
      </c>
      <c r="F2" s="9" t="s">
        <v>33</v>
      </c>
      <c r="G2" s="9" t="s">
        <v>33</v>
      </c>
      <c r="H2" s="9" t="s">
        <v>33</v>
      </c>
      <c r="I2" s="9" t="s">
        <v>33</v>
      </c>
      <c r="J2" s="9" t="s">
        <v>33</v>
      </c>
      <c r="K2" s="9" t="s">
        <v>33</v>
      </c>
      <c r="L2" s="9" t="s">
        <v>33</v>
      </c>
      <c r="M2" s="9" t="s">
        <v>33</v>
      </c>
      <c r="N2" s="9" t="s">
        <v>33</v>
      </c>
      <c r="O2" s="9" t="s">
        <v>33</v>
      </c>
      <c r="P2" s="9" t="s">
        <v>33</v>
      </c>
      <c r="Q2" s="9" t="s">
        <v>34</v>
      </c>
      <c r="R2" s="15"/>
      <c r="S2" s="15"/>
      <c r="T2" s="15"/>
      <c r="U2" s="15"/>
      <c r="V2" s="15"/>
      <c r="W2" s="9"/>
      <c r="X2" s="15"/>
      <c r="Y2" s="9"/>
      <c r="Z2" s="9"/>
      <c r="AA2" s="9"/>
    </row>
    <row r="3">
      <c r="A3" s="7"/>
      <c r="B3" s="9"/>
      <c r="C3" s="10" t="s">
        <v>28</v>
      </c>
      <c r="D3" s="10"/>
      <c r="E3" s="11" t="s">
        <v>29</v>
      </c>
      <c r="J3" s="12" t="s">
        <v>30</v>
      </c>
      <c r="M3" s="13" t="s">
        <v>31</v>
      </c>
      <c r="N3" s="13"/>
      <c r="O3" s="13"/>
      <c r="P3" s="13"/>
      <c r="Q3" s="14"/>
      <c r="U3" s="15" t="s">
        <v>32</v>
      </c>
      <c r="V3" s="15" t="s">
        <v>32</v>
      </c>
      <c r="W3" s="10"/>
      <c r="X3" s="15" t="s">
        <v>32</v>
      </c>
      <c r="Y3" s="9" t="s">
        <v>32</v>
      </c>
      <c r="Z3" s="9"/>
      <c r="AA3" s="9"/>
    </row>
    <row r="4">
      <c r="A4" s="7"/>
      <c r="B4" s="16" t="s">
        <v>41</v>
      </c>
      <c r="C4" s="9" t="s">
        <v>36</v>
      </c>
      <c r="D4" s="9" t="s">
        <v>37</v>
      </c>
      <c r="E4" s="17" t="s">
        <v>38</v>
      </c>
      <c r="F4" s="9" t="s">
        <v>39</v>
      </c>
      <c r="G4" s="9" t="s">
        <v>39</v>
      </c>
      <c r="H4" s="9" t="s">
        <v>39</v>
      </c>
      <c r="I4" s="15" t="s">
        <v>39</v>
      </c>
      <c r="J4" s="9" t="s">
        <v>40</v>
      </c>
      <c r="K4" s="9" t="s">
        <v>40</v>
      </c>
      <c r="L4" s="9" t="s">
        <v>40</v>
      </c>
      <c r="M4" s="9" t="s">
        <v>40</v>
      </c>
      <c r="N4" s="9" t="s">
        <v>40</v>
      </c>
      <c r="O4" s="9" t="s">
        <v>40</v>
      </c>
      <c r="P4" s="9" t="s">
        <v>40</v>
      </c>
      <c r="Q4" s="9" t="s">
        <v>39</v>
      </c>
      <c r="R4" s="15" t="s">
        <v>39</v>
      </c>
      <c r="S4" s="15" t="s">
        <v>39</v>
      </c>
      <c r="T4" s="15" t="s">
        <v>39</v>
      </c>
      <c r="U4" s="15" t="s">
        <v>42</v>
      </c>
      <c r="V4" s="15" t="s">
        <v>43</v>
      </c>
      <c r="W4" s="9" t="s">
        <v>37</v>
      </c>
      <c r="X4" s="15" t="s">
        <v>43</v>
      </c>
      <c r="Y4" s="9" t="s">
        <v>44</v>
      </c>
      <c r="Z4" s="9"/>
      <c r="AA4" s="9"/>
    </row>
    <row r="5">
      <c r="A5" s="7"/>
      <c r="B5" s="18" t="s">
        <v>6</v>
      </c>
      <c r="C5" s="18" t="s">
        <v>7</v>
      </c>
      <c r="D5" s="18" t="s">
        <v>45</v>
      </c>
      <c r="E5" s="18" t="s">
        <v>46</v>
      </c>
      <c r="F5" s="18" t="s">
        <v>47</v>
      </c>
      <c r="G5" s="18" t="s">
        <v>48</v>
      </c>
      <c r="H5" s="18" t="s">
        <v>49</v>
      </c>
      <c r="I5" s="18" t="s">
        <v>50</v>
      </c>
      <c r="J5" s="18" t="s">
        <v>51</v>
      </c>
      <c r="K5" s="18" t="s">
        <v>52</v>
      </c>
      <c r="L5" s="18" t="s">
        <v>53</v>
      </c>
      <c r="M5" s="18" t="s">
        <v>54</v>
      </c>
      <c r="N5" s="18" t="s">
        <v>55</v>
      </c>
      <c r="O5" s="18" t="s">
        <v>56</v>
      </c>
      <c r="P5" s="18" t="s">
        <v>57</v>
      </c>
      <c r="Q5" s="18" t="s">
        <v>58</v>
      </c>
      <c r="R5" s="18" t="s">
        <v>59</v>
      </c>
      <c r="S5" s="18" t="s">
        <v>60</v>
      </c>
      <c r="T5" s="18" t="s">
        <v>61</v>
      </c>
      <c r="U5" s="20" t="s">
        <v>62</v>
      </c>
      <c r="V5" s="20" t="s">
        <v>64</v>
      </c>
      <c r="W5" s="18" t="s">
        <v>67</v>
      </c>
      <c r="X5" s="20" t="s">
        <v>71</v>
      </c>
      <c r="Y5" s="20" t="s">
        <v>74</v>
      </c>
      <c r="Z5" s="20"/>
      <c r="AA5" s="9"/>
    </row>
    <row r="6">
      <c r="A6" s="7"/>
      <c r="B6" s="21"/>
      <c r="C6" s="22"/>
      <c r="D6" s="22" t="s">
        <v>90</v>
      </c>
      <c r="E6" s="23" t="s">
        <v>91</v>
      </c>
      <c r="F6" s="23" t="s">
        <v>92</v>
      </c>
      <c r="G6" s="23" t="s">
        <v>65</v>
      </c>
      <c r="H6" s="23" t="s">
        <v>78</v>
      </c>
      <c r="I6" s="23" t="s">
        <v>94</v>
      </c>
      <c r="J6" s="26" t="s">
        <v>95</v>
      </c>
      <c r="K6" s="26" t="s">
        <v>98</v>
      </c>
      <c r="L6" s="26" t="s">
        <v>99</v>
      </c>
      <c r="M6" s="15" t="s">
        <v>100</v>
      </c>
      <c r="N6" s="15" t="s">
        <v>102</v>
      </c>
      <c r="O6" s="15" t="s">
        <v>104</v>
      </c>
      <c r="P6" s="15"/>
      <c r="Q6" s="15" t="s">
        <v>106</v>
      </c>
      <c r="R6" s="15"/>
      <c r="S6" s="15"/>
      <c r="T6" s="15"/>
      <c r="U6" s="15"/>
      <c r="V6" s="15"/>
      <c r="W6" s="22"/>
      <c r="X6" s="15"/>
      <c r="Y6" s="15"/>
      <c r="Z6" s="30"/>
      <c r="AA6" s="9"/>
    </row>
    <row r="7">
      <c r="A7" s="7"/>
      <c r="B7" s="3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1.0</v>
      </c>
      <c r="X7" s="15"/>
      <c r="Y7" s="15" t="s">
        <v>130</v>
      </c>
      <c r="Z7" s="30"/>
      <c r="AA7" s="9"/>
    </row>
    <row r="8">
      <c r="A8" s="7"/>
      <c r="B8" s="34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5"/>
      <c r="S8" s="9"/>
      <c r="T8" s="9"/>
      <c r="U8" s="9"/>
      <c r="V8" s="9"/>
      <c r="W8" s="9"/>
      <c r="X8" s="9"/>
      <c r="Y8" s="9"/>
      <c r="Z8" s="37"/>
      <c r="AA8" s="9"/>
    </row>
    <row r="9">
      <c r="A9" s="7"/>
      <c r="B9" s="34"/>
      <c r="C9" s="9"/>
      <c r="D9" s="9"/>
      <c r="E9" s="9"/>
      <c r="F9" s="9"/>
      <c r="G9" s="17"/>
      <c r="H9" s="17"/>
      <c r="I9" s="15"/>
      <c r="J9" s="9" t="s">
        <v>158</v>
      </c>
      <c r="K9" s="9"/>
      <c r="L9" s="9" t="s">
        <v>158</v>
      </c>
      <c r="M9" s="9"/>
      <c r="N9" s="9"/>
      <c r="O9" s="9"/>
      <c r="P9" s="9"/>
      <c r="Q9" s="9"/>
      <c r="R9" s="15"/>
      <c r="S9" s="15"/>
      <c r="T9" s="15"/>
      <c r="U9" s="15"/>
      <c r="V9" s="15"/>
      <c r="W9" s="9"/>
      <c r="X9" s="15"/>
      <c r="Y9" s="9"/>
      <c r="Z9" s="37"/>
      <c r="AA9" s="9"/>
    </row>
    <row r="10">
      <c r="A10" s="7"/>
      <c r="B10" s="34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40"/>
      <c r="W10" s="40"/>
      <c r="X10" s="40"/>
      <c r="Y10" s="40"/>
      <c r="Z10" s="41"/>
      <c r="AA10" s="9"/>
    </row>
    <row r="11">
      <c r="A11" s="7"/>
      <c r="B11" s="34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37"/>
      <c r="AA11" s="9"/>
    </row>
    <row r="12">
      <c r="A12" s="7"/>
      <c r="B12" s="43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1"/>
      <c r="AA12" s="9"/>
    </row>
    <row r="13">
      <c r="A13" s="7"/>
      <c r="B13" s="34"/>
      <c r="C13" s="40"/>
      <c r="D13" s="40"/>
      <c r="E13" s="40"/>
      <c r="F13" s="40"/>
      <c r="G13" s="40"/>
      <c r="H13" s="40"/>
      <c r="I13" s="45"/>
      <c r="J13" s="40"/>
      <c r="K13" s="40"/>
      <c r="L13" s="40"/>
      <c r="M13" s="40"/>
      <c r="N13" s="40"/>
      <c r="O13" s="40"/>
      <c r="P13" s="40"/>
      <c r="Q13" s="40"/>
      <c r="R13" s="45"/>
      <c r="S13" s="45"/>
      <c r="T13" s="45"/>
      <c r="U13" s="45"/>
      <c r="V13" s="45"/>
      <c r="W13" s="40"/>
      <c r="X13" s="45"/>
      <c r="Y13" s="40"/>
      <c r="Z13" s="41"/>
      <c r="AA13" s="9"/>
    </row>
    <row r="14">
      <c r="A14" s="7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1"/>
      <c r="AA14" s="9"/>
    </row>
    <row r="15">
      <c r="A15" s="7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1"/>
      <c r="AA15" s="9"/>
    </row>
    <row r="16">
      <c r="A16" s="7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1"/>
      <c r="AA16" s="9"/>
    </row>
    <row r="17">
      <c r="A17" s="7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1"/>
      <c r="AA17" s="9"/>
    </row>
    <row r="18">
      <c r="A18" s="7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1"/>
      <c r="AA18" s="9"/>
    </row>
    <row r="19">
      <c r="A19" s="7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1"/>
      <c r="AA19" s="9"/>
    </row>
    <row r="20">
      <c r="A20" s="7"/>
      <c r="B20" s="46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1"/>
      <c r="AA20" s="9"/>
    </row>
    <row r="21">
      <c r="A21" s="7"/>
      <c r="B21" s="46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1"/>
      <c r="AA21" s="9"/>
    </row>
    <row r="22">
      <c r="A22" s="7"/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1"/>
      <c r="AA22" s="9"/>
    </row>
    <row r="23">
      <c r="A23" s="7"/>
      <c r="B23" s="48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9"/>
      <c r="AA23" s="9"/>
    </row>
    <row r="24">
      <c r="A24" s="7"/>
      <c r="B24" s="39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9"/>
      <c r="AA24" s="9"/>
    </row>
    <row r="25">
      <c r="A25" s="7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/>
      <c r="AA25" s="9"/>
    </row>
    <row r="26">
      <c r="A26" s="7"/>
      <c r="B26" s="40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9"/>
    </row>
    <row r="27">
      <c r="A27" s="7"/>
      <c r="B27" s="9"/>
      <c r="C27" s="42"/>
      <c r="D27" s="42"/>
      <c r="E27" s="42"/>
      <c r="F27" s="42"/>
      <c r="G27" s="42"/>
      <c r="H27" s="42"/>
      <c r="I27" s="7"/>
      <c r="J27" s="42"/>
      <c r="K27" s="42"/>
      <c r="L27" s="42"/>
      <c r="M27" s="42"/>
      <c r="N27" s="42"/>
      <c r="O27" s="42"/>
      <c r="P27" s="42"/>
      <c r="Q27" s="42"/>
      <c r="R27" s="7"/>
      <c r="S27" s="7"/>
      <c r="T27" s="7"/>
      <c r="U27" s="7"/>
      <c r="V27" s="7"/>
      <c r="W27" s="42"/>
      <c r="X27" s="7"/>
      <c r="Y27" s="42"/>
      <c r="Z27" s="42"/>
      <c r="AA27" s="9"/>
    </row>
    <row r="28">
      <c r="A28" s="7"/>
      <c r="B28" s="9"/>
      <c r="C28" s="42"/>
      <c r="D28" s="42"/>
      <c r="E28" s="42"/>
      <c r="F28" s="42"/>
      <c r="G28" s="42"/>
      <c r="H28" s="42"/>
      <c r="I28" s="7"/>
      <c r="J28" s="42"/>
      <c r="K28" s="42"/>
      <c r="L28" s="42"/>
      <c r="M28" s="42"/>
      <c r="N28" s="42"/>
      <c r="O28" s="42"/>
      <c r="P28" s="42"/>
      <c r="Q28" s="42"/>
      <c r="R28" s="7"/>
      <c r="S28" s="7"/>
      <c r="T28" s="7"/>
      <c r="U28" s="7"/>
      <c r="V28" s="7"/>
      <c r="W28" s="42"/>
      <c r="X28" s="7"/>
      <c r="Y28" s="42"/>
      <c r="Z28" s="42"/>
      <c r="AA28" s="9"/>
    </row>
    <row r="29">
      <c r="A29" s="7"/>
      <c r="B29" s="9"/>
      <c r="C29" s="42"/>
      <c r="D29" s="42"/>
      <c r="E29" s="42"/>
      <c r="F29" s="42"/>
      <c r="G29" s="42"/>
      <c r="H29" s="42"/>
      <c r="I29" s="7"/>
      <c r="J29" s="42"/>
      <c r="K29" s="42"/>
      <c r="L29" s="42"/>
      <c r="M29" s="42"/>
      <c r="N29" s="42"/>
      <c r="O29" s="42"/>
      <c r="P29" s="42"/>
      <c r="Q29" s="42"/>
      <c r="R29" s="7"/>
      <c r="S29" s="7"/>
      <c r="T29" s="7"/>
      <c r="U29" s="7"/>
      <c r="V29" s="7"/>
      <c r="W29" s="42"/>
      <c r="X29" s="7"/>
      <c r="Y29" s="42"/>
      <c r="Z29" s="42"/>
      <c r="AA29" s="9"/>
    </row>
    <row r="30">
      <c r="A30" s="7"/>
      <c r="B30" s="9"/>
      <c r="C30" s="42"/>
      <c r="D30" s="42"/>
      <c r="E30" s="42"/>
      <c r="F30" s="42"/>
      <c r="G30" s="42"/>
      <c r="H30" s="42"/>
      <c r="I30" s="7"/>
      <c r="J30" s="42"/>
      <c r="K30" s="42"/>
      <c r="L30" s="42"/>
      <c r="M30" s="42"/>
      <c r="N30" s="42"/>
      <c r="O30" s="42"/>
      <c r="P30" s="42"/>
      <c r="Q30" s="42"/>
      <c r="R30" s="7"/>
      <c r="S30" s="7"/>
      <c r="T30" s="7"/>
      <c r="U30" s="7"/>
      <c r="V30" s="7"/>
      <c r="W30" s="42"/>
      <c r="X30" s="7"/>
      <c r="Y30" s="42"/>
      <c r="Z30" s="42"/>
      <c r="AA30" s="9"/>
    </row>
    <row r="31">
      <c r="A31" s="7"/>
      <c r="B31" s="9"/>
      <c r="C31" s="42"/>
      <c r="D31" s="42"/>
      <c r="E31" s="42"/>
      <c r="F31" s="42"/>
      <c r="G31" s="42"/>
      <c r="H31" s="42"/>
      <c r="I31" s="7"/>
      <c r="J31" s="42"/>
      <c r="K31" s="42"/>
      <c r="L31" s="42"/>
      <c r="M31" s="42"/>
      <c r="N31" s="42"/>
      <c r="O31" s="42"/>
      <c r="P31" s="42"/>
      <c r="Q31" s="42"/>
      <c r="R31" s="7"/>
      <c r="S31" s="7"/>
      <c r="T31" s="7"/>
      <c r="U31" s="7"/>
      <c r="V31" s="7"/>
      <c r="W31" s="42"/>
      <c r="X31" s="7"/>
      <c r="Y31" s="42"/>
      <c r="Z31" s="42"/>
      <c r="AA31" s="9"/>
    </row>
    <row r="32">
      <c r="A32" s="7"/>
      <c r="B32" s="42"/>
      <c r="C32" s="42"/>
      <c r="D32" s="42"/>
      <c r="E32" s="42"/>
      <c r="F32" s="42"/>
      <c r="G32" s="42"/>
      <c r="H32" s="42"/>
      <c r="I32" s="7"/>
      <c r="J32" s="42"/>
      <c r="K32" s="42"/>
      <c r="L32" s="42"/>
      <c r="M32" s="42"/>
      <c r="N32" s="42"/>
      <c r="O32" s="42"/>
      <c r="P32" s="42"/>
      <c r="Q32" s="42"/>
      <c r="R32" s="7"/>
      <c r="S32" s="7"/>
      <c r="T32" s="7"/>
      <c r="U32" s="7"/>
      <c r="V32" s="7"/>
      <c r="W32" s="42"/>
      <c r="X32" s="7"/>
      <c r="Y32" s="42"/>
      <c r="Z32" s="42"/>
      <c r="AA32" s="9"/>
    </row>
    <row r="33">
      <c r="A33" s="7"/>
      <c r="B33" s="9"/>
      <c r="C33" s="42"/>
      <c r="D33" s="42"/>
      <c r="E33" s="42"/>
      <c r="F33" s="42"/>
      <c r="G33" s="42"/>
      <c r="H33" s="42"/>
      <c r="I33" s="7"/>
      <c r="J33" s="42"/>
      <c r="K33" s="42"/>
      <c r="L33" s="42"/>
      <c r="M33" s="42"/>
      <c r="N33" s="42"/>
      <c r="O33" s="42"/>
      <c r="P33" s="42"/>
      <c r="Q33" s="42"/>
      <c r="R33" s="7"/>
      <c r="S33" s="7"/>
      <c r="T33" s="7"/>
      <c r="U33" s="7"/>
      <c r="V33" s="7"/>
      <c r="W33" s="42"/>
      <c r="X33" s="7"/>
      <c r="Y33" s="42"/>
      <c r="Z33" s="42"/>
      <c r="AA33" s="9"/>
    </row>
    <row r="34">
      <c r="A34" s="7"/>
      <c r="B34" s="9"/>
      <c r="C34" s="42"/>
      <c r="D34" s="42"/>
      <c r="E34" s="42"/>
      <c r="F34" s="42"/>
      <c r="G34" s="42"/>
      <c r="H34" s="42"/>
      <c r="I34" s="7"/>
      <c r="J34" s="42"/>
      <c r="K34" s="42"/>
      <c r="L34" s="42"/>
      <c r="M34" s="42"/>
      <c r="N34" s="42"/>
      <c r="O34" s="42"/>
      <c r="P34" s="42"/>
      <c r="Q34" s="42"/>
      <c r="R34" s="7"/>
      <c r="S34" s="7"/>
      <c r="T34" s="7"/>
      <c r="U34" s="7"/>
      <c r="V34" s="7"/>
      <c r="W34" s="42"/>
      <c r="X34" s="7"/>
      <c r="Y34" s="42"/>
      <c r="Z34" s="42"/>
      <c r="AA34" s="9"/>
    </row>
    <row r="35">
      <c r="A35" s="7"/>
      <c r="B35" s="9"/>
      <c r="C35" s="42"/>
      <c r="D35" s="42"/>
      <c r="E35" s="42"/>
      <c r="F35" s="42"/>
      <c r="G35" s="42"/>
      <c r="H35" s="42"/>
      <c r="I35" s="7"/>
      <c r="J35" s="42"/>
      <c r="K35" s="42"/>
      <c r="L35" s="42"/>
      <c r="M35" s="42"/>
      <c r="N35" s="42"/>
      <c r="O35" s="42"/>
      <c r="P35" s="42"/>
      <c r="Q35" s="42"/>
      <c r="R35" s="7"/>
      <c r="S35" s="7"/>
      <c r="T35" s="7"/>
      <c r="U35" s="7"/>
      <c r="V35" s="7"/>
      <c r="W35" s="42"/>
      <c r="X35" s="7"/>
      <c r="Y35" s="42"/>
      <c r="Z35" s="42"/>
      <c r="AA35" s="9"/>
    </row>
    <row r="36">
      <c r="A36" s="7"/>
      <c r="B36" s="9"/>
      <c r="C36" s="42"/>
      <c r="D36" s="42"/>
      <c r="E36" s="42"/>
      <c r="F36" s="42"/>
      <c r="G36" s="42"/>
      <c r="H36" s="42"/>
      <c r="I36" s="7"/>
      <c r="J36" s="42"/>
      <c r="K36" s="42"/>
      <c r="L36" s="42"/>
      <c r="M36" s="42"/>
      <c r="N36" s="42"/>
      <c r="O36" s="42"/>
      <c r="P36" s="42"/>
      <c r="Q36" s="42"/>
      <c r="R36" s="7"/>
      <c r="S36" s="7"/>
      <c r="T36" s="7"/>
      <c r="U36" s="7"/>
      <c r="V36" s="7"/>
      <c r="W36" s="42"/>
      <c r="X36" s="7"/>
      <c r="Y36" s="42"/>
      <c r="Z36" s="42"/>
      <c r="AA36" s="9"/>
    </row>
    <row r="37">
      <c r="A37" s="7"/>
      <c r="B37" s="9"/>
      <c r="C37" s="42"/>
      <c r="D37" s="42"/>
      <c r="E37" s="42"/>
      <c r="F37" s="42"/>
      <c r="G37" s="42"/>
      <c r="H37" s="42"/>
      <c r="I37" s="7"/>
      <c r="J37" s="42"/>
      <c r="K37" s="42"/>
      <c r="L37" s="42"/>
      <c r="M37" s="42"/>
      <c r="N37" s="42"/>
      <c r="O37" s="42"/>
      <c r="P37" s="42"/>
      <c r="Q37" s="42"/>
      <c r="R37" s="7"/>
      <c r="S37" s="7"/>
      <c r="T37" s="7"/>
      <c r="U37" s="7"/>
      <c r="V37" s="7"/>
      <c r="W37" s="42"/>
      <c r="X37" s="7"/>
      <c r="Y37" s="42"/>
      <c r="Z37" s="42"/>
      <c r="AA37" s="9"/>
    </row>
    <row r="38">
      <c r="A38" s="7"/>
      <c r="B38" s="9"/>
      <c r="C38" s="42"/>
      <c r="D38" s="42"/>
      <c r="E38" s="42"/>
      <c r="F38" s="42"/>
      <c r="G38" s="42"/>
      <c r="H38" s="42"/>
      <c r="I38" s="7"/>
      <c r="J38" s="42"/>
      <c r="K38" s="42"/>
      <c r="L38" s="42"/>
      <c r="M38" s="42"/>
      <c r="N38" s="42"/>
      <c r="O38" s="42"/>
      <c r="P38" s="42"/>
      <c r="Q38" s="42"/>
      <c r="R38" s="7"/>
      <c r="S38" s="7"/>
      <c r="T38" s="7"/>
      <c r="U38" s="7"/>
      <c r="V38" s="7"/>
      <c r="W38" s="42"/>
      <c r="X38" s="7"/>
      <c r="Y38" s="42"/>
      <c r="Z38" s="42"/>
      <c r="AA38" s="9"/>
    </row>
    <row r="39">
      <c r="A39" s="7"/>
      <c r="B39" s="9"/>
      <c r="C39" s="42"/>
      <c r="D39" s="42"/>
      <c r="E39" s="42"/>
      <c r="F39" s="42"/>
      <c r="G39" s="42"/>
      <c r="H39" s="42"/>
      <c r="I39" s="7"/>
      <c r="J39" s="42"/>
      <c r="K39" s="42"/>
      <c r="L39" s="42"/>
      <c r="M39" s="42"/>
      <c r="N39" s="42"/>
      <c r="O39" s="42"/>
      <c r="P39" s="42"/>
      <c r="Q39" s="42"/>
      <c r="R39" s="7"/>
      <c r="S39" s="7"/>
      <c r="T39" s="7"/>
      <c r="U39" s="7"/>
      <c r="V39" s="7"/>
      <c r="W39" s="42"/>
      <c r="X39" s="7"/>
      <c r="Y39" s="42"/>
      <c r="Z39" s="42"/>
      <c r="AA39" s="9"/>
    </row>
    <row r="40">
      <c r="A40" s="7"/>
      <c r="B40" s="9"/>
      <c r="C40" s="42"/>
      <c r="D40" s="42"/>
      <c r="E40" s="42"/>
      <c r="F40" s="42"/>
      <c r="G40" s="42"/>
      <c r="H40" s="42"/>
      <c r="I40" s="7"/>
      <c r="J40" s="42"/>
      <c r="K40" s="42"/>
      <c r="L40" s="42"/>
      <c r="M40" s="42"/>
      <c r="N40" s="42"/>
      <c r="O40" s="42"/>
      <c r="P40" s="42"/>
      <c r="Q40" s="42"/>
      <c r="R40" s="7"/>
      <c r="S40" s="7"/>
      <c r="T40" s="7"/>
      <c r="U40" s="7"/>
      <c r="V40" s="7"/>
      <c r="W40" s="42"/>
      <c r="X40" s="7"/>
      <c r="Y40" s="42"/>
      <c r="Z40" s="42"/>
      <c r="AA40" s="9"/>
    </row>
    <row r="41">
      <c r="A41" s="7"/>
      <c r="B41" s="9"/>
      <c r="C41" s="42"/>
      <c r="D41" s="42"/>
      <c r="E41" s="42"/>
      <c r="F41" s="42"/>
      <c r="G41" s="42"/>
      <c r="H41" s="42"/>
      <c r="I41" s="7"/>
      <c r="J41" s="42"/>
      <c r="K41" s="42"/>
      <c r="L41" s="42"/>
      <c r="M41" s="42"/>
      <c r="N41" s="42"/>
      <c r="O41" s="42"/>
      <c r="P41" s="42"/>
      <c r="Q41" s="42"/>
      <c r="R41" s="7"/>
      <c r="S41" s="7"/>
      <c r="T41" s="7"/>
      <c r="U41" s="7"/>
      <c r="V41" s="7"/>
      <c r="W41" s="42"/>
      <c r="X41" s="7"/>
      <c r="Y41" s="42"/>
      <c r="Z41" s="42"/>
      <c r="AA41" s="9"/>
    </row>
    <row r="42">
      <c r="A42" s="7"/>
      <c r="B42" s="9"/>
      <c r="C42" s="42"/>
      <c r="D42" s="42"/>
      <c r="E42" s="42"/>
      <c r="F42" s="42"/>
      <c r="G42" s="42"/>
      <c r="H42" s="42"/>
      <c r="I42" s="7"/>
      <c r="J42" s="42"/>
      <c r="K42" s="42"/>
      <c r="L42" s="42"/>
      <c r="M42" s="42"/>
      <c r="N42" s="42"/>
      <c r="O42" s="42"/>
      <c r="P42" s="42"/>
      <c r="Q42" s="42"/>
      <c r="R42" s="7"/>
      <c r="S42" s="7"/>
      <c r="T42" s="7"/>
      <c r="U42" s="7"/>
      <c r="V42" s="7"/>
      <c r="W42" s="42"/>
      <c r="X42" s="7"/>
      <c r="Y42" s="42"/>
      <c r="Z42" s="42"/>
      <c r="AA42" s="9"/>
    </row>
    <row r="43">
      <c r="A43" s="7"/>
      <c r="B43" s="9"/>
      <c r="C43" s="42"/>
      <c r="D43" s="42"/>
      <c r="E43" s="42"/>
      <c r="F43" s="42"/>
      <c r="G43" s="42"/>
      <c r="H43" s="42"/>
      <c r="I43" s="7"/>
      <c r="J43" s="42"/>
      <c r="K43" s="42"/>
      <c r="L43" s="42"/>
      <c r="M43" s="42"/>
      <c r="N43" s="42"/>
      <c r="O43" s="42"/>
      <c r="P43" s="42"/>
      <c r="Q43" s="42"/>
      <c r="R43" s="7"/>
      <c r="S43" s="7"/>
      <c r="T43" s="7"/>
      <c r="U43" s="7"/>
      <c r="V43" s="7"/>
      <c r="W43" s="42"/>
      <c r="X43" s="7"/>
      <c r="Y43" s="42"/>
      <c r="Z43" s="42"/>
      <c r="AA43" s="9"/>
    </row>
    <row r="44">
      <c r="A44" s="7"/>
      <c r="B44" s="9"/>
      <c r="C44" s="42"/>
      <c r="D44" s="42"/>
      <c r="E44" s="42"/>
      <c r="F44" s="42"/>
      <c r="G44" s="42"/>
      <c r="H44" s="42"/>
      <c r="I44" s="7"/>
      <c r="J44" s="42"/>
      <c r="K44" s="42"/>
      <c r="L44" s="42"/>
      <c r="M44" s="42"/>
      <c r="N44" s="42"/>
      <c r="O44" s="42"/>
      <c r="P44" s="42"/>
      <c r="Q44" s="42"/>
      <c r="R44" s="7"/>
      <c r="S44" s="7"/>
      <c r="T44" s="7"/>
      <c r="U44" s="7"/>
      <c r="V44" s="7"/>
      <c r="W44" s="42"/>
      <c r="X44" s="7"/>
      <c r="Y44" s="42"/>
      <c r="Z44" s="42"/>
      <c r="AA44" s="9"/>
    </row>
    <row r="45">
      <c r="A45" s="7"/>
      <c r="B45" s="9"/>
      <c r="C45" s="42"/>
      <c r="D45" s="42"/>
      <c r="E45" s="42"/>
      <c r="F45" s="42"/>
      <c r="G45" s="42"/>
      <c r="H45" s="42"/>
      <c r="I45" s="7"/>
      <c r="J45" s="42"/>
      <c r="K45" s="42"/>
      <c r="L45" s="42"/>
      <c r="M45" s="42"/>
      <c r="N45" s="42"/>
      <c r="O45" s="42"/>
      <c r="P45" s="42"/>
      <c r="Q45" s="42"/>
      <c r="R45" s="7"/>
      <c r="S45" s="7"/>
      <c r="T45" s="7"/>
      <c r="U45" s="7"/>
      <c r="V45" s="7"/>
      <c r="W45" s="42"/>
      <c r="X45" s="7"/>
      <c r="Y45" s="42"/>
      <c r="Z45" s="42"/>
      <c r="AA45" s="42"/>
    </row>
  </sheetData>
  <mergeCells count="3">
    <mergeCell ref="E3:I3"/>
    <mergeCell ref="J3:L3"/>
    <mergeCell ref="Q3:T3"/>
  </mergeCells>
  <dataValidations>
    <dataValidation type="list" allowBlank="1" showErrorMessage="1" sqref="G6">
      <formula1>'Справочник для КО'!$C$3:$C$14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2.25"/>
    <col customWidth="1" min="3" max="3" width="13.5"/>
    <col customWidth="1" min="4" max="4" width="32.5"/>
    <col customWidth="1" min="5" max="5" width="31.5"/>
    <col customWidth="1" min="6" max="6" width="16.5" outlineLevel="1"/>
    <col customWidth="1" min="7" max="7" width="17.88" outlineLevel="1"/>
    <col customWidth="1" min="8" max="8" width="15.75" outlineLevel="1"/>
    <col customWidth="1" min="9" max="9" width="30.88" outlineLevel="1"/>
    <col customWidth="1" min="10" max="10" width="37.38"/>
    <col customWidth="1" min="11" max="11" width="33.0"/>
    <col customWidth="1" min="12" max="12" width="23.88" outlineLevel="1"/>
    <col customWidth="1" min="13" max="13" width="34.25"/>
    <col customWidth="1" min="14" max="14" width="20.0" outlineLevel="1"/>
    <col customWidth="1" min="15" max="15" width="14.88" outlineLevel="1"/>
    <col customWidth="1" min="16" max="16" width="23.88" outlineLevel="1"/>
    <col customWidth="1" min="17" max="17" width="47.0"/>
    <col customWidth="1" min="18" max="18" width="27.0" outlineLevel="1"/>
    <col customWidth="1" min="19" max="20" width="28.38" outlineLevel="1"/>
    <col customWidth="1" min="21" max="21" width="38.0" outlineLevel="1"/>
    <col customWidth="1" min="22" max="22" width="28.38" outlineLevel="1"/>
    <col customWidth="1" min="23" max="23" width="18.63"/>
    <col customWidth="1" min="24" max="24" width="28.38" outlineLevel="1"/>
    <col customWidth="1" min="25" max="25" width="28.0" outlineLevel="1"/>
    <col customWidth="1" min="26" max="26" width="37.25"/>
    <col customWidth="1" min="27" max="27" width="34.63"/>
    <col customWidth="1" min="28" max="28" width="30.13"/>
    <col customWidth="1" min="29" max="35" width="20.0"/>
  </cols>
  <sheetData>
    <row r="1">
      <c r="A1" s="7"/>
      <c r="B1" s="9" t="s">
        <v>27</v>
      </c>
      <c r="C1" s="10" t="s">
        <v>28</v>
      </c>
      <c r="D1" s="10"/>
      <c r="E1" s="11" t="s">
        <v>29</v>
      </c>
      <c r="J1" s="12" t="s">
        <v>30</v>
      </c>
      <c r="M1" s="13" t="s">
        <v>31</v>
      </c>
      <c r="N1" s="13"/>
      <c r="O1" s="13"/>
      <c r="P1" s="13"/>
      <c r="Q1" s="14"/>
      <c r="U1" s="15" t="s">
        <v>32</v>
      </c>
      <c r="V1" s="15" t="s">
        <v>32</v>
      </c>
      <c r="W1" s="10"/>
      <c r="X1" s="15" t="s">
        <v>32</v>
      </c>
      <c r="Y1" s="9" t="s">
        <v>32</v>
      </c>
      <c r="Z1" s="15"/>
      <c r="AA1" s="9"/>
      <c r="AB1" s="7"/>
      <c r="AC1" s="7"/>
      <c r="AD1" s="7"/>
      <c r="AE1" s="7"/>
      <c r="AF1" s="7"/>
      <c r="AG1" s="7"/>
      <c r="AH1" s="7"/>
      <c r="AI1" s="7"/>
    </row>
    <row r="2">
      <c r="A2" s="7"/>
      <c r="B2" s="16" t="s">
        <v>35</v>
      </c>
      <c r="C2" s="9" t="s">
        <v>36</v>
      </c>
      <c r="D2" s="9" t="s">
        <v>37</v>
      </c>
      <c r="E2" s="17" t="s">
        <v>38</v>
      </c>
      <c r="F2" s="9" t="s">
        <v>39</v>
      </c>
      <c r="G2" s="9" t="s">
        <v>39</v>
      </c>
      <c r="H2" s="9" t="s">
        <v>39</v>
      </c>
      <c r="I2" s="15" t="s">
        <v>39</v>
      </c>
      <c r="J2" s="9" t="s">
        <v>40</v>
      </c>
      <c r="K2" s="9" t="s">
        <v>40</v>
      </c>
      <c r="L2" s="9" t="s">
        <v>40</v>
      </c>
      <c r="M2" s="9" t="s">
        <v>40</v>
      </c>
      <c r="N2" s="9" t="s">
        <v>40</v>
      </c>
      <c r="O2" s="9" t="s">
        <v>40</v>
      </c>
      <c r="P2" s="9" t="s">
        <v>40</v>
      </c>
      <c r="Q2" s="9" t="s">
        <v>39</v>
      </c>
      <c r="R2" s="15" t="s">
        <v>39</v>
      </c>
      <c r="S2" s="15" t="s">
        <v>39</v>
      </c>
      <c r="T2" s="15" t="s">
        <v>39</v>
      </c>
      <c r="U2" s="15" t="s">
        <v>42</v>
      </c>
      <c r="V2" s="15" t="s">
        <v>43</v>
      </c>
      <c r="W2" s="9" t="s">
        <v>37</v>
      </c>
      <c r="X2" s="15" t="s">
        <v>43</v>
      </c>
      <c r="Y2" s="9" t="s">
        <v>44</v>
      </c>
      <c r="Z2" s="15"/>
      <c r="AA2" s="9"/>
      <c r="AB2" s="7"/>
      <c r="AC2" s="7"/>
      <c r="AD2" s="7"/>
      <c r="AE2" s="7"/>
      <c r="AF2" s="7"/>
      <c r="AG2" s="7"/>
      <c r="AH2" s="7"/>
      <c r="AI2" s="7"/>
    </row>
    <row r="3">
      <c r="A3" s="7"/>
      <c r="B3" s="18" t="s">
        <v>6</v>
      </c>
      <c r="C3" s="18" t="s">
        <v>7</v>
      </c>
      <c r="D3" s="19" t="s">
        <v>45</v>
      </c>
      <c r="E3" s="19" t="s">
        <v>46</v>
      </c>
      <c r="F3" s="19" t="s">
        <v>47</v>
      </c>
      <c r="G3" s="19" t="s">
        <v>48</v>
      </c>
      <c r="H3" s="19" t="s">
        <v>49</v>
      </c>
      <c r="I3" s="19" t="s">
        <v>50</v>
      </c>
      <c r="J3" s="19" t="s">
        <v>51</v>
      </c>
      <c r="K3" s="19" t="s">
        <v>52</v>
      </c>
      <c r="L3" s="18" t="s">
        <v>53</v>
      </c>
      <c r="M3" s="18" t="s">
        <v>54</v>
      </c>
      <c r="N3" s="18" t="s">
        <v>55</v>
      </c>
      <c r="O3" s="18" t="s">
        <v>56</v>
      </c>
      <c r="P3" s="18" t="s">
        <v>57</v>
      </c>
      <c r="Q3" s="18" t="s">
        <v>58</v>
      </c>
      <c r="R3" s="18" t="s">
        <v>59</v>
      </c>
      <c r="S3" s="18" t="s">
        <v>60</v>
      </c>
      <c r="T3" s="18" t="s">
        <v>61</v>
      </c>
      <c r="U3" s="20" t="s">
        <v>62</v>
      </c>
      <c r="V3" s="20" t="s">
        <v>64</v>
      </c>
      <c r="W3" s="18" t="s">
        <v>67</v>
      </c>
      <c r="X3" s="20" t="s">
        <v>71</v>
      </c>
      <c r="Y3" s="20" t="s">
        <v>74</v>
      </c>
      <c r="Z3" s="20" t="s">
        <v>79</v>
      </c>
      <c r="AA3" s="20" t="s">
        <v>83</v>
      </c>
      <c r="AB3" s="20" t="s">
        <v>86</v>
      </c>
      <c r="AC3" s="20" t="s">
        <v>87</v>
      </c>
      <c r="AD3" s="20" t="s">
        <v>88</v>
      </c>
      <c r="AE3" s="20" t="s">
        <v>89</v>
      </c>
      <c r="AF3" s="20" t="s">
        <v>63</v>
      </c>
      <c r="AG3" s="7"/>
      <c r="AH3" s="7"/>
      <c r="AI3" s="7"/>
    </row>
    <row r="4">
      <c r="A4" s="7"/>
      <c r="B4" s="21"/>
      <c r="C4" s="22"/>
      <c r="D4" s="22" t="s">
        <v>90</v>
      </c>
      <c r="E4" s="23" t="s">
        <v>91</v>
      </c>
      <c r="F4" s="23" t="s">
        <v>92</v>
      </c>
      <c r="G4" s="23" t="s">
        <v>65</v>
      </c>
      <c r="H4" s="23" t="s">
        <v>78</v>
      </c>
      <c r="I4" s="23" t="s">
        <v>94</v>
      </c>
      <c r="J4" s="26" t="s">
        <v>95</v>
      </c>
      <c r="K4" s="26" t="s">
        <v>98</v>
      </c>
      <c r="L4" s="26" t="s">
        <v>99</v>
      </c>
      <c r="M4" s="15" t="s">
        <v>100</v>
      </c>
      <c r="N4" s="15" t="s">
        <v>102</v>
      </c>
      <c r="O4" s="15" t="s">
        <v>104</v>
      </c>
      <c r="P4" s="15"/>
      <c r="Q4" s="15" t="s">
        <v>106</v>
      </c>
      <c r="R4" s="15"/>
      <c r="S4" s="15"/>
      <c r="T4" s="15"/>
      <c r="U4" s="15"/>
      <c r="V4" s="15"/>
      <c r="W4" s="22"/>
      <c r="X4" s="15"/>
      <c r="Y4" s="15"/>
      <c r="Z4" s="15"/>
      <c r="AA4" s="15"/>
      <c r="AB4" s="15"/>
      <c r="AC4" s="15"/>
      <c r="AD4" s="15"/>
      <c r="AE4" s="15"/>
      <c r="AF4" s="30"/>
      <c r="AG4" s="7"/>
      <c r="AH4" s="7"/>
      <c r="AI4" s="7"/>
    </row>
    <row r="5">
      <c r="A5" s="7"/>
      <c r="B5" s="3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v>1.0</v>
      </c>
      <c r="X5" s="15"/>
      <c r="Y5" s="15" t="s">
        <v>130</v>
      </c>
      <c r="Z5" s="15"/>
      <c r="AA5" s="15"/>
      <c r="AB5" s="15"/>
      <c r="AC5" s="15"/>
      <c r="AD5" s="15"/>
      <c r="AE5" s="15"/>
      <c r="AF5" s="30"/>
      <c r="AG5" s="7"/>
      <c r="AH5" s="7"/>
      <c r="AI5" s="7"/>
    </row>
    <row r="6">
      <c r="A6" s="7"/>
      <c r="B6" s="3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5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37"/>
      <c r="AG6" s="7"/>
      <c r="AH6" s="7"/>
      <c r="AI6" s="7"/>
    </row>
    <row r="7">
      <c r="A7" s="7"/>
      <c r="B7" s="34"/>
      <c r="C7" s="9"/>
      <c r="D7" s="9"/>
      <c r="E7" s="9"/>
      <c r="F7" s="9"/>
      <c r="G7" s="9"/>
      <c r="H7" s="9"/>
      <c r="I7" s="9"/>
      <c r="J7" s="9"/>
      <c r="K7" s="9"/>
      <c r="L7" s="9" t="s">
        <v>158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5"/>
      <c r="AF7" s="37"/>
      <c r="AG7" s="7"/>
      <c r="AH7" s="7"/>
      <c r="AI7" s="7"/>
    </row>
    <row r="8">
      <c r="A8" s="7"/>
      <c r="B8" s="39"/>
      <c r="C8" s="40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40"/>
      <c r="AF8" s="41"/>
      <c r="AG8" s="7"/>
      <c r="AH8" s="7"/>
      <c r="AI8" s="7"/>
    </row>
    <row r="9">
      <c r="A9" s="9"/>
      <c r="B9" s="34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37"/>
    </row>
    <row r="10">
      <c r="A10" s="7"/>
      <c r="B10" s="43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1"/>
      <c r="AG10" s="7"/>
      <c r="AH10" s="7"/>
      <c r="AI10" s="7"/>
    </row>
    <row r="11">
      <c r="A11" s="7"/>
      <c r="B11" s="34"/>
      <c r="C11" s="40"/>
      <c r="D11" s="40"/>
      <c r="E11" s="40"/>
      <c r="F11" s="40"/>
      <c r="G11" s="40"/>
      <c r="H11" s="40"/>
      <c r="I11" s="45"/>
      <c r="J11" s="40"/>
      <c r="K11" s="40"/>
      <c r="L11" s="40"/>
      <c r="M11" s="40"/>
      <c r="N11" s="40"/>
      <c r="O11" s="40"/>
      <c r="P11" s="40"/>
      <c r="Q11" s="40"/>
      <c r="R11" s="45"/>
      <c r="S11" s="45"/>
      <c r="T11" s="45"/>
      <c r="U11" s="45"/>
      <c r="V11" s="45"/>
      <c r="W11" s="40"/>
      <c r="X11" s="45"/>
      <c r="Y11" s="40"/>
      <c r="Z11" s="45"/>
      <c r="AA11" s="45"/>
      <c r="AB11" s="45"/>
      <c r="AC11" s="45"/>
      <c r="AD11" s="45"/>
      <c r="AE11" s="45"/>
      <c r="AF11" s="41"/>
      <c r="AG11" s="7"/>
      <c r="AH11" s="7"/>
      <c r="AI11" s="7"/>
    </row>
    <row r="12">
      <c r="A12" s="7"/>
      <c r="B12" s="46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1"/>
      <c r="AG12" s="7"/>
      <c r="AH12" s="7"/>
      <c r="AI12" s="7"/>
    </row>
    <row r="13">
      <c r="A13" s="7"/>
      <c r="B13" s="46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1"/>
      <c r="AG13" s="7"/>
      <c r="AH13" s="7"/>
      <c r="AI13" s="7"/>
    </row>
    <row r="14">
      <c r="A14" s="7"/>
      <c r="B14" s="46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1"/>
      <c r="AG14" s="7"/>
      <c r="AH14" s="7"/>
      <c r="AI14" s="7"/>
    </row>
    <row r="15">
      <c r="A15" s="7"/>
      <c r="B15" s="46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1"/>
      <c r="AG15" s="7"/>
      <c r="AH15" s="7"/>
      <c r="AI15" s="7"/>
    </row>
    <row r="16">
      <c r="A16" s="7"/>
      <c r="B16" s="46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1"/>
      <c r="AG16" s="7"/>
      <c r="AH16" s="7"/>
      <c r="AI16" s="7"/>
    </row>
    <row r="17">
      <c r="A17" s="7"/>
      <c r="B17" s="46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1"/>
      <c r="AG17" s="7"/>
      <c r="AH17" s="7"/>
      <c r="AI17" s="7"/>
    </row>
    <row r="18">
      <c r="A18" s="7"/>
      <c r="B18" s="46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1"/>
      <c r="AG18" s="7"/>
      <c r="AH18" s="7"/>
      <c r="AI18" s="7"/>
    </row>
    <row r="19">
      <c r="A19" s="7"/>
      <c r="B19" s="46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1"/>
      <c r="AG19" s="7"/>
      <c r="AH19" s="7"/>
      <c r="AI19" s="7"/>
    </row>
    <row r="20">
      <c r="A20" s="7"/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1"/>
      <c r="AG20" s="7"/>
      <c r="AH20" s="7"/>
      <c r="AI20" s="7"/>
    </row>
    <row r="21">
      <c r="A21" s="7"/>
      <c r="B21" s="48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9"/>
      <c r="AG21" s="7"/>
      <c r="AH21" s="7"/>
      <c r="AI21" s="7"/>
    </row>
    <row r="22">
      <c r="A22" s="7"/>
      <c r="B22" s="39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9"/>
      <c r="AG22" s="7"/>
      <c r="AH22" s="7"/>
      <c r="AI22" s="7"/>
    </row>
    <row r="23">
      <c r="A23" s="7"/>
      <c r="B23" s="50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2"/>
      <c r="AG23" s="7"/>
      <c r="AH23" s="7"/>
      <c r="AI23" s="7"/>
    </row>
    <row r="24">
      <c r="A24" s="7"/>
      <c r="B24" s="40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7"/>
      <c r="AC24" s="7"/>
      <c r="AD24" s="7"/>
      <c r="AE24" s="7"/>
      <c r="AF24" s="7"/>
      <c r="AG24" s="7"/>
      <c r="AH24" s="7"/>
      <c r="AI24" s="7"/>
    </row>
    <row r="25">
      <c r="A25" s="7"/>
      <c r="B25" s="9"/>
      <c r="C25" s="42"/>
      <c r="D25" s="42"/>
      <c r="E25" s="42"/>
      <c r="F25" s="42"/>
      <c r="G25" s="42"/>
      <c r="H25" s="42"/>
      <c r="I25" s="7"/>
      <c r="J25" s="42"/>
      <c r="K25" s="42"/>
      <c r="L25" s="42"/>
      <c r="M25" s="42"/>
      <c r="N25" s="42"/>
      <c r="O25" s="42"/>
      <c r="P25" s="42"/>
      <c r="Q25" s="42"/>
      <c r="R25" s="7"/>
      <c r="S25" s="7"/>
      <c r="T25" s="7"/>
      <c r="U25" s="7"/>
      <c r="V25" s="7"/>
      <c r="W25" s="42"/>
      <c r="X25" s="7"/>
      <c r="Y25" s="42"/>
      <c r="Z25" s="7"/>
      <c r="AA25" s="42"/>
      <c r="AB25" s="7"/>
      <c r="AC25" s="7"/>
      <c r="AD25" s="7"/>
      <c r="AE25" s="7"/>
      <c r="AF25" s="7"/>
      <c r="AG25" s="7"/>
      <c r="AH25" s="7"/>
      <c r="AI25" s="7"/>
    </row>
    <row r="26">
      <c r="A26" s="7"/>
      <c r="B26" s="9"/>
      <c r="C26" s="42"/>
      <c r="D26" s="42"/>
      <c r="E26" s="42"/>
      <c r="F26" s="42"/>
      <c r="G26" s="42"/>
      <c r="H26" s="42"/>
      <c r="I26" s="7"/>
      <c r="J26" s="42"/>
      <c r="K26" s="42"/>
      <c r="L26" s="42"/>
      <c r="M26" s="42"/>
      <c r="N26" s="42"/>
      <c r="O26" s="42"/>
      <c r="P26" s="42"/>
      <c r="Q26" s="42"/>
      <c r="R26" s="7"/>
      <c r="S26" s="7"/>
      <c r="T26" s="7"/>
      <c r="U26" s="7"/>
      <c r="V26" s="7"/>
      <c r="W26" s="42"/>
      <c r="X26" s="7"/>
      <c r="Y26" s="42"/>
      <c r="Z26" s="7"/>
      <c r="AA26" s="42"/>
      <c r="AB26" s="7"/>
      <c r="AC26" s="7"/>
      <c r="AD26" s="7"/>
      <c r="AE26" s="7"/>
      <c r="AF26" s="7"/>
      <c r="AG26" s="7"/>
      <c r="AH26" s="7"/>
      <c r="AI26" s="7"/>
    </row>
    <row r="27">
      <c r="A27" s="7"/>
      <c r="B27" s="9"/>
      <c r="C27" s="42"/>
      <c r="D27" s="42"/>
      <c r="E27" s="42"/>
      <c r="F27" s="42"/>
      <c r="G27" s="42"/>
      <c r="H27" s="42"/>
      <c r="I27" s="7"/>
      <c r="J27" s="42"/>
      <c r="K27" s="42"/>
      <c r="L27" s="42"/>
      <c r="M27" s="42"/>
      <c r="N27" s="42"/>
      <c r="O27" s="42"/>
      <c r="P27" s="42"/>
      <c r="Q27" s="42"/>
      <c r="R27" s="7"/>
      <c r="S27" s="7"/>
      <c r="T27" s="7"/>
      <c r="U27" s="7"/>
      <c r="V27" s="7"/>
      <c r="W27" s="42"/>
      <c r="X27" s="7"/>
      <c r="Y27" s="42"/>
      <c r="Z27" s="7"/>
      <c r="AA27" s="42"/>
      <c r="AB27" s="7"/>
      <c r="AC27" s="7"/>
      <c r="AD27" s="7"/>
      <c r="AE27" s="7"/>
      <c r="AF27" s="7"/>
      <c r="AG27" s="7"/>
      <c r="AH27" s="7"/>
      <c r="AI27" s="7"/>
    </row>
    <row r="28">
      <c r="A28" s="7"/>
      <c r="B28" s="9"/>
      <c r="C28" s="42"/>
      <c r="D28" s="42"/>
      <c r="E28" s="42"/>
      <c r="F28" s="42"/>
      <c r="G28" s="42"/>
      <c r="H28" s="42"/>
      <c r="I28" s="7"/>
      <c r="J28" s="42"/>
      <c r="K28" s="42"/>
      <c r="L28" s="42"/>
      <c r="M28" s="42"/>
      <c r="N28" s="42"/>
      <c r="O28" s="42"/>
      <c r="P28" s="42"/>
      <c r="Q28" s="42"/>
      <c r="R28" s="7"/>
      <c r="S28" s="7"/>
      <c r="T28" s="7"/>
      <c r="U28" s="7"/>
      <c r="V28" s="7"/>
      <c r="W28" s="42"/>
      <c r="X28" s="7"/>
      <c r="Y28" s="42"/>
      <c r="Z28" s="7"/>
      <c r="AA28" s="42"/>
      <c r="AB28" s="7"/>
      <c r="AC28" s="7"/>
      <c r="AD28" s="7"/>
      <c r="AE28" s="7"/>
      <c r="AF28" s="7"/>
      <c r="AG28" s="7"/>
      <c r="AH28" s="7"/>
      <c r="AI28" s="7"/>
    </row>
    <row r="29">
      <c r="A29" s="7"/>
      <c r="B29" s="9"/>
      <c r="C29" s="42"/>
      <c r="D29" s="42"/>
      <c r="E29" s="42"/>
      <c r="F29" s="42"/>
      <c r="G29" s="42"/>
      <c r="H29" s="42"/>
      <c r="I29" s="7"/>
      <c r="J29" s="42"/>
      <c r="K29" s="42"/>
      <c r="L29" s="42"/>
      <c r="M29" s="42"/>
      <c r="N29" s="42"/>
      <c r="O29" s="42"/>
      <c r="P29" s="42"/>
      <c r="Q29" s="42"/>
      <c r="R29" s="7"/>
      <c r="S29" s="7"/>
      <c r="T29" s="7"/>
      <c r="U29" s="7"/>
      <c r="V29" s="7"/>
      <c r="W29" s="42"/>
      <c r="X29" s="7"/>
      <c r="Y29" s="42"/>
      <c r="Z29" s="7"/>
      <c r="AA29" s="42"/>
      <c r="AB29" s="7"/>
      <c r="AC29" s="7"/>
      <c r="AD29" s="7"/>
      <c r="AE29" s="7"/>
      <c r="AF29" s="7"/>
      <c r="AG29" s="7"/>
      <c r="AH29" s="7"/>
      <c r="AI29" s="7"/>
    </row>
    <row r="30">
      <c r="A30" s="7"/>
      <c r="B30" s="42"/>
      <c r="C30" s="42"/>
      <c r="D30" s="42"/>
      <c r="E30" s="42"/>
      <c r="F30" s="42"/>
      <c r="G30" s="42"/>
      <c r="H30" s="42"/>
      <c r="I30" s="7"/>
      <c r="J30" s="42"/>
      <c r="K30" s="42"/>
      <c r="L30" s="42"/>
      <c r="M30" s="42"/>
      <c r="N30" s="42"/>
      <c r="O30" s="42"/>
      <c r="P30" s="42"/>
      <c r="Q30" s="42"/>
      <c r="R30" s="7"/>
      <c r="S30" s="7"/>
      <c r="T30" s="7"/>
      <c r="U30" s="7"/>
      <c r="V30" s="7"/>
      <c r="W30" s="42"/>
      <c r="X30" s="7"/>
      <c r="Y30" s="42"/>
      <c r="Z30" s="7"/>
      <c r="AA30" s="42"/>
      <c r="AB30" s="7"/>
      <c r="AC30" s="7"/>
      <c r="AD30" s="7"/>
      <c r="AE30" s="7"/>
      <c r="AF30" s="7"/>
      <c r="AG30" s="7"/>
      <c r="AH30" s="7"/>
      <c r="AI30" s="7"/>
    </row>
    <row r="31">
      <c r="A31" s="7"/>
      <c r="B31" s="9"/>
      <c r="C31" s="42"/>
      <c r="D31" s="42"/>
      <c r="E31" s="42"/>
      <c r="F31" s="42"/>
      <c r="G31" s="42"/>
      <c r="H31" s="42"/>
      <c r="I31" s="7"/>
      <c r="J31" s="42"/>
      <c r="K31" s="42"/>
      <c r="L31" s="42"/>
      <c r="M31" s="42"/>
      <c r="N31" s="42"/>
      <c r="O31" s="42"/>
      <c r="P31" s="42"/>
      <c r="Q31" s="42"/>
      <c r="R31" s="7"/>
      <c r="S31" s="7"/>
      <c r="T31" s="7"/>
      <c r="U31" s="7"/>
      <c r="V31" s="7"/>
      <c r="W31" s="42"/>
      <c r="X31" s="7"/>
      <c r="Y31" s="42"/>
      <c r="Z31" s="7"/>
      <c r="AA31" s="42"/>
      <c r="AB31" s="7"/>
      <c r="AC31" s="7"/>
      <c r="AD31" s="7"/>
      <c r="AE31" s="7"/>
      <c r="AF31" s="7"/>
      <c r="AG31" s="7"/>
      <c r="AH31" s="7"/>
      <c r="AI31" s="7"/>
    </row>
    <row r="32">
      <c r="A32" s="7"/>
      <c r="B32" s="9"/>
      <c r="C32" s="42"/>
      <c r="D32" s="42"/>
      <c r="E32" s="42"/>
      <c r="F32" s="42"/>
      <c r="G32" s="42"/>
      <c r="H32" s="42"/>
      <c r="I32" s="7"/>
      <c r="J32" s="42"/>
      <c r="K32" s="42"/>
      <c r="L32" s="42"/>
      <c r="M32" s="42"/>
      <c r="N32" s="42"/>
      <c r="O32" s="42"/>
      <c r="P32" s="42"/>
      <c r="Q32" s="42"/>
      <c r="R32" s="7"/>
      <c r="S32" s="7"/>
      <c r="T32" s="7"/>
      <c r="U32" s="7"/>
      <c r="V32" s="7"/>
      <c r="W32" s="42"/>
      <c r="X32" s="7"/>
      <c r="Y32" s="42"/>
      <c r="Z32" s="7"/>
      <c r="AA32" s="42"/>
      <c r="AB32" s="7"/>
      <c r="AC32" s="7"/>
      <c r="AD32" s="7"/>
      <c r="AE32" s="7"/>
      <c r="AF32" s="7"/>
      <c r="AG32" s="7"/>
      <c r="AH32" s="7"/>
      <c r="AI32" s="7"/>
    </row>
    <row r="33">
      <c r="A33" s="7"/>
      <c r="B33" s="9"/>
      <c r="C33" s="42"/>
      <c r="D33" s="42"/>
      <c r="E33" s="42"/>
      <c r="F33" s="42"/>
      <c r="G33" s="42"/>
      <c r="H33" s="42"/>
      <c r="I33" s="7"/>
      <c r="J33" s="42"/>
      <c r="K33" s="42"/>
      <c r="L33" s="42"/>
      <c r="M33" s="42"/>
      <c r="N33" s="42"/>
      <c r="O33" s="42"/>
      <c r="P33" s="42"/>
      <c r="Q33" s="42"/>
      <c r="R33" s="7"/>
      <c r="S33" s="7"/>
      <c r="T33" s="7"/>
      <c r="U33" s="7"/>
      <c r="V33" s="7"/>
      <c r="W33" s="42"/>
      <c r="X33" s="7"/>
      <c r="Y33" s="42"/>
      <c r="Z33" s="7"/>
      <c r="AA33" s="42"/>
      <c r="AB33" s="7"/>
      <c r="AC33" s="7"/>
      <c r="AD33" s="7"/>
      <c r="AE33" s="7"/>
      <c r="AF33" s="7"/>
      <c r="AG33" s="7"/>
      <c r="AH33" s="7"/>
      <c r="AI33" s="7"/>
    </row>
    <row r="34">
      <c r="A34" s="7"/>
      <c r="B34" s="9"/>
      <c r="C34" s="42"/>
      <c r="D34" s="42"/>
      <c r="E34" s="42"/>
      <c r="F34" s="42"/>
      <c r="G34" s="42"/>
      <c r="H34" s="42"/>
      <c r="I34" s="7"/>
      <c r="J34" s="42"/>
      <c r="K34" s="42"/>
      <c r="L34" s="42"/>
      <c r="M34" s="42"/>
      <c r="N34" s="42"/>
      <c r="O34" s="42"/>
      <c r="P34" s="42"/>
      <c r="Q34" s="42"/>
      <c r="R34" s="7"/>
      <c r="S34" s="7"/>
      <c r="T34" s="7"/>
      <c r="U34" s="7"/>
      <c r="V34" s="7"/>
      <c r="W34" s="42"/>
      <c r="X34" s="7"/>
      <c r="Y34" s="42"/>
      <c r="Z34" s="7"/>
      <c r="AA34" s="42"/>
      <c r="AB34" s="7"/>
      <c r="AC34" s="7"/>
      <c r="AD34" s="7"/>
      <c r="AE34" s="7"/>
      <c r="AF34" s="7"/>
      <c r="AG34" s="7"/>
      <c r="AH34" s="7"/>
      <c r="AI34" s="7"/>
    </row>
    <row r="35">
      <c r="A35" s="7"/>
      <c r="B35" s="9"/>
      <c r="C35" s="42"/>
      <c r="D35" s="42"/>
      <c r="E35" s="42"/>
      <c r="F35" s="42"/>
      <c r="G35" s="42"/>
      <c r="H35" s="42"/>
      <c r="I35" s="7"/>
      <c r="J35" s="42"/>
      <c r="K35" s="42"/>
      <c r="L35" s="42"/>
      <c r="M35" s="42"/>
      <c r="N35" s="42"/>
      <c r="O35" s="42"/>
      <c r="P35" s="42"/>
      <c r="Q35" s="42"/>
      <c r="R35" s="7"/>
      <c r="S35" s="7"/>
      <c r="T35" s="7"/>
      <c r="U35" s="7"/>
      <c r="V35" s="7"/>
      <c r="W35" s="42"/>
      <c r="X35" s="7"/>
      <c r="Y35" s="42"/>
      <c r="Z35" s="7"/>
      <c r="AA35" s="42"/>
      <c r="AB35" s="7"/>
      <c r="AC35" s="7"/>
      <c r="AD35" s="7"/>
      <c r="AE35" s="7"/>
      <c r="AF35" s="7"/>
      <c r="AG35" s="7"/>
      <c r="AH35" s="7"/>
      <c r="AI35" s="7"/>
    </row>
    <row r="36">
      <c r="A36" s="7"/>
      <c r="B36" s="9"/>
      <c r="C36" s="42"/>
      <c r="D36" s="42"/>
      <c r="E36" s="42"/>
      <c r="F36" s="42"/>
      <c r="G36" s="42"/>
      <c r="H36" s="42"/>
      <c r="I36" s="7"/>
      <c r="J36" s="42"/>
      <c r="K36" s="42"/>
      <c r="L36" s="42"/>
      <c r="M36" s="42"/>
      <c r="N36" s="42"/>
      <c r="O36" s="42"/>
      <c r="P36" s="42"/>
      <c r="Q36" s="42"/>
      <c r="R36" s="7"/>
      <c r="S36" s="7"/>
      <c r="T36" s="7"/>
      <c r="U36" s="7"/>
      <c r="V36" s="7"/>
      <c r="W36" s="42"/>
      <c r="X36" s="7"/>
      <c r="Y36" s="42"/>
      <c r="Z36" s="7"/>
      <c r="AA36" s="42"/>
      <c r="AB36" s="7"/>
      <c r="AC36" s="7"/>
      <c r="AD36" s="7"/>
      <c r="AE36" s="7"/>
      <c r="AF36" s="7"/>
      <c r="AG36" s="7"/>
      <c r="AH36" s="7"/>
      <c r="AI36" s="7"/>
    </row>
    <row r="37">
      <c r="A37" s="7"/>
      <c r="B37" s="9"/>
      <c r="C37" s="42"/>
      <c r="D37" s="42"/>
      <c r="E37" s="42"/>
      <c r="F37" s="42"/>
      <c r="G37" s="42"/>
      <c r="H37" s="42"/>
      <c r="I37" s="7"/>
      <c r="J37" s="42"/>
      <c r="K37" s="42"/>
      <c r="L37" s="42"/>
      <c r="M37" s="42"/>
      <c r="N37" s="42"/>
      <c r="O37" s="42"/>
      <c r="P37" s="42"/>
      <c r="Q37" s="42"/>
      <c r="R37" s="7"/>
      <c r="S37" s="7"/>
      <c r="T37" s="7"/>
      <c r="U37" s="7"/>
      <c r="V37" s="7"/>
      <c r="W37" s="42"/>
      <c r="X37" s="7"/>
      <c r="Y37" s="42"/>
      <c r="Z37" s="7"/>
      <c r="AA37" s="42"/>
      <c r="AB37" s="7"/>
      <c r="AC37" s="7"/>
      <c r="AD37" s="7"/>
      <c r="AE37" s="7"/>
      <c r="AF37" s="7"/>
      <c r="AG37" s="7"/>
      <c r="AH37" s="7"/>
      <c r="AI37" s="7"/>
    </row>
    <row r="38">
      <c r="A38" s="7"/>
      <c r="B38" s="9"/>
      <c r="C38" s="42"/>
      <c r="D38" s="42"/>
      <c r="E38" s="42"/>
      <c r="F38" s="42"/>
      <c r="G38" s="42"/>
      <c r="H38" s="42"/>
      <c r="I38" s="7"/>
      <c r="J38" s="42"/>
      <c r="K38" s="42"/>
      <c r="L38" s="42"/>
      <c r="M38" s="42"/>
      <c r="N38" s="42"/>
      <c r="O38" s="42"/>
      <c r="P38" s="42"/>
      <c r="Q38" s="42"/>
      <c r="R38" s="7"/>
      <c r="S38" s="7"/>
      <c r="T38" s="7"/>
      <c r="U38" s="7"/>
      <c r="V38" s="7"/>
      <c r="W38" s="42"/>
      <c r="X38" s="7"/>
      <c r="Y38" s="42"/>
      <c r="Z38" s="7"/>
      <c r="AA38" s="42"/>
      <c r="AB38" s="7"/>
      <c r="AC38" s="7"/>
      <c r="AD38" s="7"/>
      <c r="AE38" s="7"/>
      <c r="AF38" s="7"/>
      <c r="AG38" s="7"/>
      <c r="AH38" s="7"/>
      <c r="AI38" s="7"/>
    </row>
    <row r="39">
      <c r="A39" s="7"/>
      <c r="B39" s="9"/>
      <c r="C39" s="42"/>
      <c r="D39" s="42"/>
      <c r="E39" s="42"/>
      <c r="F39" s="42"/>
      <c r="G39" s="42"/>
      <c r="H39" s="42"/>
      <c r="I39" s="7"/>
      <c r="J39" s="42"/>
      <c r="K39" s="42"/>
      <c r="L39" s="42"/>
      <c r="M39" s="42"/>
      <c r="N39" s="42"/>
      <c r="O39" s="42"/>
      <c r="P39" s="42"/>
      <c r="Q39" s="42"/>
      <c r="R39" s="7"/>
      <c r="S39" s="7"/>
      <c r="T39" s="7"/>
      <c r="U39" s="7"/>
      <c r="V39" s="7"/>
      <c r="W39" s="42"/>
      <c r="X39" s="7"/>
      <c r="Y39" s="42"/>
      <c r="Z39" s="7"/>
      <c r="AA39" s="42"/>
      <c r="AB39" s="7"/>
      <c r="AC39" s="7"/>
      <c r="AD39" s="7"/>
      <c r="AE39" s="7"/>
      <c r="AF39" s="7"/>
      <c r="AG39" s="7"/>
      <c r="AH39" s="7"/>
      <c r="AI39" s="7"/>
    </row>
    <row r="40">
      <c r="A40" s="7"/>
      <c r="B40" s="9"/>
      <c r="C40" s="42"/>
      <c r="D40" s="42"/>
      <c r="E40" s="42"/>
      <c r="F40" s="42"/>
      <c r="G40" s="42"/>
      <c r="H40" s="42"/>
      <c r="I40" s="7"/>
      <c r="J40" s="42"/>
      <c r="K40" s="42"/>
      <c r="L40" s="42"/>
      <c r="M40" s="42"/>
      <c r="N40" s="42"/>
      <c r="O40" s="42"/>
      <c r="P40" s="42"/>
      <c r="Q40" s="42"/>
      <c r="R40" s="7"/>
      <c r="S40" s="7"/>
      <c r="T40" s="7"/>
      <c r="U40" s="7"/>
      <c r="V40" s="7"/>
      <c r="W40" s="42"/>
      <c r="X40" s="7"/>
      <c r="Y40" s="42"/>
      <c r="Z40" s="7"/>
      <c r="AA40" s="42"/>
      <c r="AB40" s="7"/>
      <c r="AC40" s="7"/>
      <c r="AD40" s="7"/>
      <c r="AE40" s="7"/>
      <c r="AF40" s="7"/>
      <c r="AG40" s="7"/>
      <c r="AH40" s="7"/>
      <c r="AI40" s="7"/>
    </row>
    <row r="41">
      <c r="A41" s="7"/>
      <c r="B41" s="9"/>
      <c r="C41" s="42"/>
      <c r="D41" s="42"/>
      <c r="E41" s="42"/>
      <c r="F41" s="42"/>
      <c r="G41" s="42"/>
      <c r="H41" s="42"/>
      <c r="I41" s="7"/>
      <c r="J41" s="42"/>
      <c r="K41" s="42"/>
      <c r="L41" s="42"/>
      <c r="M41" s="42"/>
      <c r="N41" s="42"/>
      <c r="O41" s="42"/>
      <c r="P41" s="42"/>
      <c r="Q41" s="42"/>
      <c r="R41" s="7"/>
      <c r="S41" s="7"/>
      <c r="T41" s="7"/>
      <c r="U41" s="7"/>
      <c r="V41" s="7"/>
      <c r="W41" s="42"/>
      <c r="X41" s="7"/>
      <c r="Y41" s="42"/>
      <c r="Z41" s="7"/>
      <c r="AA41" s="42"/>
      <c r="AB41" s="7"/>
      <c r="AC41" s="7"/>
      <c r="AD41" s="7"/>
      <c r="AE41" s="7"/>
      <c r="AF41" s="7"/>
      <c r="AG41" s="7"/>
      <c r="AH41" s="7"/>
      <c r="AI41" s="7"/>
    </row>
    <row r="42">
      <c r="A42" s="7"/>
      <c r="B42" s="9"/>
      <c r="C42" s="42"/>
      <c r="D42" s="42"/>
      <c r="E42" s="42"/>
      <c r="F42" s="42"/>
      <c r="G42" s="42"/>
      <c r="H42" s="42"/>
      <c r="I42" s="7"/>
      <c r="J42" s="42"/>
      <c r="K42" s="42"/>
      <c r="L42" s="42"/>
      <c r="M42" s="42"/>
      <c r="N42" s="42"/>
      <c r="O42" s="42"/>
      <c r="P42" s="42"/>
      <c r="Q42" s="42"/>
      <c r="R42" s="7"/>
      <c r="S42" s="7"/>
      <c r="T42" s="7"/>
      <c r="U42" s="7"/>
      <c r="V42" s="7"/>
      <c r="W42" s="42"/>
      <c r="X42" s="7"/>
      <c r="Y42" s="42"/>
      <c r="Z42" s="7"/>
      <c r="AA42" s="42"/>
      <c r="AB42" s="7"/>
      <c r="AC42" s="7"/>
      <c r="AD42" s="7"/>
      <c r="AE42" s="7"/>
      <c r="AF42" s="7"/>
      <c r="AG42" s="7"/>
      <c r="AH42" s="7"/>
      <c r="AI42" s="7"/>
    </row>
    <row r="43">
      <c r="A43" s="7"/>
      <c r="B43" s="9"/>
      <c r="C43" s="42"/>
      <c r="D43" s="42"/>
      <c r="E43" s="42"/>
      <c r="F43" s="42"/>
      <c r="G43" s="42"/>
      <c r="H43" s="42"/>
      <c r="I43" s="7"/>
      <c r="J43" s="42"/>
      <c r="K43" s="42"/>
      <c r="L43" s="42"/>
      <c r="M43" s="42"/>
      <c r="N43" s="42"/>
      <c r="O43" s="42"/>
      <c r="P43" s="42"/>
      <c r="Q43" s="42"/>
      <c r="R43" s="7"/>
      <c r="S43" s="7"/>
      <c r="T43" s="7"/>
      <c r="U43" s="7"/>
      <c r="V43" s="7"/>
      <c r="W43" s="42"/>
      <c r="X43" s="7"/>
      <c r="Y43" s="42"/>
      <c r="Z43" s="7"/>
      <c r="AA43" s="42"/>
      <c r="AB43" s="7"/>
      <c r="AC43" s="7"/>
      <c r="AD43" s="7"/>
      <c r="AE43" s="7"/>
      <c r="AF43" s="7"/>
      <c r="AG43" s="7"/>
      <c r="AH43" s="7"/>
      <c r="AI43" s="7"/>
    </row>
  </sheetData>
  <mergeCells count="3">
    <mergeCell ref="E1:I1"/>
    <mergeCell ref="J1:L1"/>
    <mergeCell ref="Q1:T1"/>
  </mergeCells>
  <dataValidations>
    <dataValidation type="list" allowBlank="1" showErrorMessage="1" sqref="G4">
      <formula1>'Справочник для КО'!$C$3:$C$14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11.38"/>
    <col customWidth="1" min="3" max="3" width="27.25"/>
    <col customWidth="1" min="4" max="5" width="19.88"/>
    <col customWidth="1" min="7" max="7" width="17.25"/>
    <col customWidth="1" min="8" max="8" width="15.0"/>
  </cols>
  <sheetData>
    <row r="2">
      <c r="C2" s="18" t="s">
        <v>48</v>
      </c>
      <c r="D2" s="18" t="s">
        <v>52</v>
      </c>
      <c r="E2" s="18" t="s">
        <v>54</v>
      </c>
      <c r="F2" s="18" t="s">
        <v>56</v>
      </c>
      <c r="G2" s="18" t="s">
        <v>49</v>
      </c>
      <c r="H2" s="18" t="s">
        <v>63</v>
      </c>
    </row>
    <row r="3">
      <c r="C3" s="15" t="s">
        <v>65</v>
      </c>
      <c r="D3" s="15" t="s">
        <v>66</v>
      </c>
      <c r="E3" s="15" t="s">
        <v>68</v>
      </c>
      <c r="F3" s="15" t="s">
        <v>69</v>
      </c>
      <c r="G3" s="15" t="s">
        <v>70</v>
      </c>
      <c r="H3" s="15" t="s">
        <v>72</v>
      </c>
    </row>
    <row r="4">
      <c r="C4" s="1" t="s">
        <v>73</v>
      </c>
      <c r="D4" s="1" t="s">
        <v>75</v>
      </c>
      <c r="E4" s="1" t="s">
        <v>76</v>
      </c>
      <c r="F4" s="1" t="s">
        <v>77</v>
      </c>
      <c r="G4" s="1" t="s">
        <v>78</v>
      </c>
      <c r="H4" s="1" t="s">
        <v>80</v>
      </c>
    </row>
    <row r="5">
      <c r="C5" s="1" t="s">
        <v>81</v>
      </c>
      <c r="D5" s="1" t="s">
        <v>82</v>
      </c>
      <c r="E5" s="1" t="s">
        <v>54</v>
      </c>
      <c r="H5" s="1" t="s">
        <v>84</v>
      </c>
    </row>
    <row r="6">
      <c r="C6" s="1" t="s">
        <v>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14.5"/>
    <col customWidth="1" min="3" max="3" width="43.5"/>
    <col customWidth="1" min="4" max="4" width="20.63"/>
    <col customWidth="1" min="5" max="5" width="26.5"/>
    <col customWidth="1" min="6" max="6" width="32.5"/>
    <col customWidth="1" min="7" max="7" width="32.38"/>
    <col customWidth="1" min="8" max="8" width="22.63"/>
    <col customWidth="1" min="9" max="11" width="31.38"/>
    <col customWidth="1" min="12" max="12" width="3.5"/>
  </cols>
  <sheetData>
    <row r="1">
      <c r="A1" s="7"/>
      <c r="B1" s="7"/>
      <c r="C1" s="8"/>
      <c r="D1" s="7"/>
      <c r="E1" s="7"/>
      <c r="F1" s="7"/>
      <c r="G1" s="7"/>
      <c r="H1" s="7"/>
      <c r="I1" s="7"/>
      <c r="J1" s="7"/>
      <c r="K1" s="7"/>
      <c r="L1" s="7"/>
    </row>
    <row r="2">
      <c r="A2" s="7"/>
      <c r="B2" s="25" t="s">
        <v>7</v>
      </c>
      <c r="C2" s="25" t="s">
        <v>96</v>
      </c>
      <c r="D2" s="25" t="s">
        <v>97</v>
      </c>
      <c r="E2" s="25" t="s">
        <v>46</v>
      </c>
      <c r="F2" s="25" t="s">
        <v>86</v>
      </c>
      <c r="G2" s="25" t="s">
        <v>74</v>
      </c>
      <c r="H2" s="25" t="s">
        <v>58</v>
      </c>
      <c r="I2" s="25" t="s">
        <v>59</v>
      </c>
      <c r="J2" s="25" t="s">
        <v>60</v>
      </c>
      <c r="K2" s="25" t="s">
        <v>61</v>
      </c>
      <c r="L2" s="7"/>
    </row>
    <row r="3" hidden="1">
      <c r="A3" s="7"/>
      <c r="B3" s="9"/>
      <c r="C3" s="9" t="s">
        <v>110</v>
      </c>
      <c r="D3" s="15"/>
      <c r="E3" s="15"/>
      <c r="F3" s="15"/>
      <c r="G3" s="15"/>
      <c r="H3" s="15"/>
      <c r="I3" s="15"/>
      <c r="J3" s="15"/>
      <c r="K3" s="15"/>
      <c r="L3" s="7"/>
    </row>
    <row r="4">
      <c r="A4" s="7"/>
      <c r="B4" s="9">
        <v>1.0</v>
      </c>
      <c r="C4" s="9" t="s">
        <v>114</v>
      </c>
      <c r="D4" s="15" t="s">
        <v>115</v>
      </c>
      <c r="E4" s="15">
        <v>2540.0</v>
      </c>
      <c r="F4" s="15">
        <v>1.0</v>
      </c>
      <c r="G4" s="32" t="s">
        <v>116</v>
      </c>
      <c r="H4" s="15" t="s">
        <v>106</v>
      </c>
      <c r="I4" s="36">
        <v>36860.0</v>
      </c>
      <c r="J4" s="36">
        <v>36861.0</v>
      </c>
      <c r="K4" s="36">
        <v>36862.0</v>
      </c>
      <c r="L4" s="7"/>
    </row>
    <row r="5">
      <c r="A5" s="7"/>
      <c r="B5" s="9">
        <v>2.0</v>
      </c>
      <c r="C5" s="9" t="s">
        <v>121</v>
      </c>
      <c r="D5" s="15" t="s">
        <v>122</v>
      </c>
      <c r="E5" s="15">
        <v>2557.0</v>
      </c>
      <c r="F5" s="15"/>
      <c r="G5" s="15"/>
      <c r="H5" s="15" t="s">
        <v>123</v>
      </c>
      <c r="I5" s="15"/>
      <c r="J5" s="15"/>
      <c r="K5" s="15"/>
      <c r="L5" s="7"/>
    </row>
    <row r="6">
      <c r="A6" s="7"/>
      <c r="B6" s="9">
        <v>3.0</v>
      </c>
      <c r="C6" s="9" t="s">
        <v>128</v>
      </c>
      <c r="D6" s="15" t="s">
        <v>129</v>
      </c>
      <c r="E6" s="15">
        <v>2605.0</v>
      </c>
      <c r="F6" s="15"/>
      <c r="G6" s="15"/>
      <c r="H6" s="15" t="s">
        <v>131</v>
      </c>
      <c r="I6" s="15"/>
      <c r="J6" s="15"/>
      <c r="K6" s="15"/>
      <c r="L6" s="7"/>
    </row>
    <row r="7">
      <c r="A7" s="7"/>
      <c r="B7" s="9">
        <v>4.0</v>
      </c>
      <c r="C7" s="9" t="s">
        <v>136</v>
      </c>
      <c r="D7" s="15" t="s">
        <v>137</v>
      </c>
      <c r="E7" s="15">
        <v>2611.0</v>
      </c>
      <c r="F7" s="15"/>
      <c r="G7" s="15"/>
      <c r="H7" s="15" t="s">
        <v>131</v>
      </c>
      <c r="I7" s="15"/>
      <c r="J7" s="15"/>
      <c r="K7" s="15"/>
      <c r="L7" s="7"/>
    </row>
    <row r="8">
      <c r="A8" s="7"/>
      <c r="B8" s="9">
        <v>5.0</v>
      </c>
      <c r="C8" s="9" t="s">
        <v>140</v>
      </c>
      <c r="D8" s="15" t="s">
        <v>141</v>
      </c>
      <c r="E8" s="15">
        <v>2655.0</v>
      </c>
      <c r="F8" s="15"/>
      <c r="G8" s="15"/>
      <c r="H8" s="15" t="s">
        <v>131</v>
      </c>
      <c r="I8" s="15"/>
      <c r="J8" s="15"/>
      <c r="K8" s="15"/>
      <c r="L8" s="7"/>
    </row>
    <row r="9">
      <c r="A9" s="7"/>
      <c r="B9" s="9">
        <v>6.0</v>
      </c>
      <c r="C9" s="9" t="s">
        <v>145</v>
      </c>
      <c r="D9" s="15" t="s">
        <v>146</v>
      </c>
      <c r="E9" s="15">
        <v>2662.0</v>
      </c>
      <c r="F9" s="15"/>
      <c r="G9" s="15"/>
      <c r="H9" s="15" t="s">
        <v>131</v>
      </c>
      <c r="I9" s="15"/>
      <c r="J9" s="15"/>
      <c r="K9" s="15"/>
      <c r="L9" s="7"/>
    </row>
    <row r="10">
      <c r="A10" s="7"/>
      <c r="B10" s="9">
        <v>7.0</v>
      </c>
      <c r="C10" s="9" t="s">
        <v>151</v>
      </c>
      <c r="D10" s="15" t="s">
        <v>153</v>
      </c>
      <c r="E10" s="15">
        <v>2666.0</v>
      </c>
      <c r="F10" s="15"/>
      <c r="G10" s="15"/>
      <c r="H10" s="15" t="s">
        <v>131</v>
      </c>
      <c r="I10" s="15"/>
      <c r="J10" s="15"/>
      <c r="K10" s="15"/>
      <c r="L10" s="7"/>
    </row>
    <row r="11">
      <c r="A11" s="7"/>
      <c r="B11" s="9">
        <v>8.0</v>
      </c>
      <c r="C11" s="9" t="s">
        <v>160</v>
      </c>
      <c r="D11" s="15" t="s">
        <v>161</v>
      </c>
      <c r="E11" s="15">
        <v>25125.0</v>
      </c>
      <c r="F11" s="15"/>
      <c r="G11" s="15"/>
      <c r="H11" s="15" t="s">
        <v>131</v>
      </c>
      <c r="I11" s="15"/>
      <c r="J11" s="15"/>
      <c r="K11" s="15"/>
      <c r="L11" s="7"/>
    </row>
    <row r="12">
      <c r="A12" s="7"/>
      <c r="B12" s="9">
        <v>9.0</v>
      </c>
      <c r="C12" s="9" t="s">
        <v>166</v>
      </c>
      <c r="D12" s="15" t="s">
        <v>167</v>
      </c>
      <c r="E12" s="15">
        <v>25135.0</v>
      </c>
      <c r="F12" s="15"/>
      <c r="G12" s="15"/>
      <c r="H12" s="15" t="s">
        <v>131</v>
      </c>
      <c r="I12" s="15"/>
      <c r="J12" s="15"/>
      <c r="K12" s="15"/>
      <c r="L12" s="7"/>
    </row>
    <row r="13">
      <c r="A13" s="7"/>
      <c r="B13" s="9">
        <v>10.0</v>
      </c>
      <c r="C13" s="9" t="s">
        <v>172</v>
      </c>
      <c r="D13" s="15" t="s">
        <v>173</v>
      </c>
      <c r="E13" s="15">
        <v>25195.0</v>
      </c>
      <c r="F13" s="15"/>
      <c r="G13" s="15"/>
      <c r="H13" s="15" t="s">
        <v>131</v>
      </c>
      <c r="I13" s="15"/>
      <c r="J13" s="15"/>
      <c r="K13" s="15"/>
      <c r="L13" s="7"/>
    </row>
    <row r="14">
      <c r="A14" s="7"/>
      <c r="B14" s="9">
        <v>11.0</v>
      </c>
      <c r="C14" s="9" t="s">
        <v>178</v>
      </c>
      <c r="D14" s="15" t="s">
        <v>179</v>
      </c>
      <c r="E14" s="15">
        <v>25234.0</v>
      </c>
      <c r="F14" s="15"/>
      <c r="G14" s="15"/>
      <c r="H14" s="15" t="s">
        <v>131</v>
      </c>
      <c r="I14" s="15"/>
      <c r="J14" s="15"/>
      <c r="K14" s="15"/>
      <c r="L14" s="7"/>
    </row>
    <row r="15">
      <c r="A15" s="7"/>
      <c r="B15" s="9">
        <v>12.0</v>
      </c>
      <c r="C15" s="9" t="s">
        <v>186</v>
      </c>
      <c r="D15" s="15" t="s">
        <v>187</v>
      </c>
      <c r="E15" s="15">
        <v>25250.0</v>
      </c>
      <c r="F15" s="15"/>
      <c r="G15" s="15"/>
      <c r="H15" s="15" t="s">
        <v>131</v>
      </c>
      <c r="I15" s="15"/>
      <c r="J15" s="15"/>
      <c r="K15" s="15"/>
      <c r="L15" s="7"/>
    </row>
    <row r="16">
      <c r="A16" s="7"/>
      <c r="B16" s="9">
        <v>13.0</v>
      </c>
      <c r="C16" s="9" t="s">
        <v>191</v>
      </c>
      <c r="D16" s="15" t="s">
        <v>192</v>
      </c>
      <c r="E16" s="15">
        <v>25282.0</v>
      </c>
      <c r="F16" s="9"/>
      <c r="G16" s="9"/>
      <c r="H16" s="9" t="s">
        <v>131</v>
      </c>
      <c r="I16" s="9"/>
      <c r="J16" s="9"/>
      <c r="K16" s="9"/>
      <c r="L16" s="7"/>
    </row>
    <row r="17">
      <c r="A17" s="7"/>
      <c r="B17" s="9">
        <v>14.0</v>
      </c>
      <c r="C17" s="9" t="s">
        <v>198</v>
      </c>
      <c r="D17" s="15" t="s">
        <v>199</v>
      </c>
      <c r="E17" s="15">
        <v>25300.0</v>
      </c>
      <c r="F17" s="9"/>
      <c r="G17" s="9"/>
      <c r="H17" s="9" t="s">
        <v>131</v>
      </c>
      <c r="I17" s="9"/>
      <c r="J17" s="9"/>
      <c r="K17" s="9"/>
      <c r="L17" s="7"/>
    </row>
    <row r="18">
      <c r="A18" s="7"/>
      <c r="B18" s="9"/>
      <c r="C18" s="9"/>
      <c r="D18" s="15"/>
      <c r="E18" s="15"/>
      <c r="F18" s="9"/>
      <c r="G18" s="9"/>
      <c r="H18" s="9"/>
      <c r="I18" s="9"/>
      <c r="J18" s="9"/>
      <c r="K18" s="9"/>
      <c r="L18" s="7"/>
    </row>
    <row r="19">
      <c r="A19" s="7"/>
      <c r="B19" s="9"/>
      <c r="C19" s="9"/>
      <c r="D19" s="15"/>
      <c r="E19" s="15"/>
      <c r="F19" s="9"/>
      <c r="G19" s="9"/>
      <c r="H19" s="9"/>
      <c r="I19" s="9"/>
      <c r="J19" s="9"/>
      <c r="K19" s="9"/>
      <c r="L19" s="7"/>
    </row>
    <row r="20">
      <c r="A20" s="7"/>
      <c r="B20" s="9"/>
      <c r="C20" s="9"/>
      <c r="D20" s="15"/>
      <c r="E20" s="7"/>
      <c r="F20" s="42"/>
      <c r="G20" s="42"/>
      <c r="H20" s="42"/>
      <c r="I20" s="42"/>
      <c r="J20" s="42"/>
      <c r="K20" s="42"/>
      <c r="L20" s="7"/>
    </row>
    <row r="21">
      <c r="A21" s="7"/>
      <c r="B21" s="9"/>
      <c r="C21" s="9"/>
      <c r="D21" s="15"/>
      <c r="E21" s="7"/>
      <c r="F21" s="9"/>
      <c r="G21" s="9"/>
      <c r="H21" s="9"/>
      <c r="I21" s="9"/>
      <c r="J21" s="9"/>
      <c r="K21" s="9"/>
      <c r="L21" s="7"/>
    </row>
    <row r="22">
      <c r="A22" s="7"/>
      <c r="B22" s="9"/>
      <c r="C22" s="9"/>
      <c r="D22" s="15"/>
      <c r="E22" s="7"/>
      <c r="F22" s="9"/>
      <c r="G22" s="9"/>
      <c r="H22" s="9"/>
      <c r="I22" s="9"/>
      <c r="J22" s="9"/>
      <c r="K22" s="9"/>
      <c r="L22" s="7"/>
    </row>
    <row r="23">
      <c r="A23" s="7"/>
      <c r="B23" s="9"/>
      <c r="C23" s="9"/>
      <c r="D23" s="15"/>
      <c r="E23" s="7"/>
      <c r="F23" s="9"/>
      <c r="G23" s="9"/>
      <c r="H23" s="9"/>
      <c r="I23" s="9"/>
      <c r="J23" s="9"/>
      <c r="K23" s="9"/>
      <c r="L23" s="7"/>
    </row>
    <row r="24">
      <c r="A24" s="7"/>
      <c r="B24" s="9"/>
      <c r="C24" s="9"/>
      <c r="D24" s="15"/>
      <c r="E24" s="7"/>
      <c r="F24" s="42"/>
      <c r="G24" s="42"/>
      <c r="H24" s="42"/>
      <c r="I24" s="42"/>
      <c r="J24" s="42"/>
      <c r="K24" s="42"/>
      <c r="L24" s="7"/>
    </row>
    <row r="25">
      <c r="A25" s="7"/>
      <c r="B25" s="9"/>
      <c r="C25" s="9"/>
      <c r="D25" s="15"/>
      <c r="E25" s="7"/>
      <c r="F25" s="9"/>
      <c r="G25" s="9"/>
      <c r="H25" s="9"/>
      <c r="I25" s="9"/>
      <c r="J25" s="9"/>
      <c r="K25" s="9"/>
      <c r="L25" s="7"/>
    </row>
    <row r="26">
      <c r="A26" s="7"/>
      <c r="B26" s="9"/>
      <c r="C26" s="9"/>
      <c r="D26" s="15"/>
      <c r="E26" s="7"/>
      <c r="F26" s="9"/>
      <c r="G26" s="9"/>
      <c r="H26" s="9"/>
      <c r="I26" s="9"/>
      <c r="J26" s="9"/>
      <c r="K26" s="9"/>
      <c r="L26" s="7"/>
    </row>
    <row r="27">
      <c r="A27" s="7"/>
      <c r="B27" s="47"/>
      <c r="C27" s="47"/>
      <c r="D27" s="47"/>
      <c r="E27" s="47"/>
      <c r="F27" s="9"/>
      <c r="G27" s="9"/>
      <c r="H27" s="9"/>
      <c r="I27" s="9"/>
      <c r="J27" s="9"/>
      <c r="K27" s="9"/>
      <c r="L27" s="7"/>
    </row>
    <row r="28">
      <c r="A28" s="7"/>
      <c r="B28" s="47"/>
      <c r="C28" s="47"/>
      <c r="D28" s="47"/>
      <c r="E28" s="47"/>
      <c r="F28" s="9"/>
      <c r="G28" s="9"/>
      <c r="H28" s="9"/>
      <c r="I28" s="9"/>
      <c r="J28" s="9"/>
      <c r="K28" s="9"/>
      <c r="L28" s="7"/>
    </row>
    <row r="29">
      <c r="A29" s="7"/>
      <c r="B29" s="9"/>
      <c r="C29" s="9"/>
      <c r="D29" s="15"/>
      <c r="E29" s="15"/>
      <c r="F29" s="9"/>
      <c r="G29" s="9"/>
      <c r="H29" s="9"/>
      <c r="I29" s="9"/>
      <c r="J29" s="9"/>
      <c r="K29" s="9"/>
      <c r="L29" s="7"/>
    </row>
    <row r="30">
      <c r="A30" s="7"/>
      <c r="B30" s="9"/>
      <c r="C30" s="9"/>
      <c r="D30" s="15"/>
      <c r="E30" s="15"/>
      <c r="F30" s="9"/>
      <c r="G30" s="9"/>
      <c r="H30" s="9"/>
      <c r="I30" s="9"/>
      <c r="J30" s="9"/>
      <c r="K30" s="9"/>
      <c r="L30" s="7"/>
    </row>
    <row r="31">
      <c r="A31" s="7"/>
      <c r="B31" s="9"/>
      <c r="C31" s="9"/>
      <c r="D31" s="15"/>
      <c r="E31" s="15"/>
      <c r="F31" s="9"/>
      <c r="G31" s="9"/>
      <c r="H31" s="9"/>
      <c r="I31" s="9"/>
      <c r="J31" s="9"/>
      <c r="K31" s="9"/>
      <c r="L31" s="7"/>
    </row>
    <row r="32">
      <c r="A32" s="7"/>
      <c r="B32" s="9"/>
      <c r="C32" s="9"/>
      <c r="D32" s="15"/>
      <c r="E32" s="15"/>
      <c r="F32" s="9"/>
      <c r="G32" s="9"/>
      <c r="H32" s="9"/>
      <c r="I32" s="9"/>
      <c r="J32" s="9"/>
      <c r="K32" s="9"/>
      <c r="L32" s="7"/>
    </row>
    <row r="33">
      <c r="A33" s="7"/>
      <c r="B33" s="9"/>
      <c r="C33" s="9"/>
      <c r="D33" s="15"/>
      <c r="E33" s="15"/>
      <c r="F33" s="9"/>
      <c r="G33" s="9"/>
      <c r="H33" s="9"/>
      <c r="I33" s="9"/>
      <c r="J33" s="9"/>
      <c r="K33" s="9"/>
      <c r="L33" s="7"/>
    </row>
    <row r="34">
      <c r="A34" s="7"/>
      <c r="B34" s="9"/>
      <c r="C34" s="9"/>
      <c r="D34" s="15"/>
      <c r="E34" s="15"/>
      <c r="F34" s="9"/>
      <c r="G34" s="9"/>
      <c r="H34" s="9"/>
      <c r="I34" s="9"/>
      <c r="J34" s="9"/>
      <c r="K34" s="9"/>
      <c r="L34" s="7"/>
    </row>
    <row r="35">
      <c r="A35" s="7"/>
      <c r="B35" s="9"/>
      <c r="C35" s="9"/>
      <c r="D35" s="15"/>
      <c r="E35" s="15"/>
      <c r="F35" s="9"/>
      <c r="G35" s="9"/>
      <c r="H35" s="9"/>
      <c r="I35" s="9"/>
      <c r="J35" s="9"/>
      <c r="K35" s="9"/>
      <c r="L35" s="7"/>
    </row>
    <row r="36">
      <c r="A36" s="7"/>
      <c r="B36" s="9"/>
      <c r="C36" s="9"/>
      <c r="D36" s="7"/>
      <c r="E36" s="7"/>
      <c r="F36" s="42"/>
      <c r="G36" s="42"/>
      <c r="H36" s="42"/>
      <c r="I36" s="42"/>
      <c r="J36" s="42"/>
      <c r="K36" s="42"/>
      <c r="L36" s="7"/>
    </row>
    <row r="37">
      <c r="A37" s="7"/>
      <c r="B37" s="9"/>
      <c r="C37" s="9"/>
      <c r="D37" s="15"/>
      <c r="E37" s="15"/>
      <c r="F37" s="9"/>
      <c r="G37" s="9"/>
      <c r="H37" s="9"/>
      <c r="I37" s="9"/>
      <c r="J37" s="9"/>
      <c r="K37" s="9"/>
      <c r="L37" s="7"/>
    </row>
    <row r="38">
      <c r="A38" s="7"/>
      <c r="B38" s="9"/>
      <c r="C38" s="9"/>
      <c r="D38" s="15"/>
      <c r="E38" s="15"/>
      <c r="F38" s="9"/>
      <c r="G38" s="9"/>
      <c r="H38" s="9"/>
      <c r="I38" s="9"/>
      <c r="J38" s="9"/>
      <c r="K38" s="9"/>
      <c r="L38" s="7"/>
    </row>
    <row r="39">
      <c r="A39" s="7"/>
      <c r="B39" s="9"/>
      <c r="C39" s="9"/>
      <c r="D39" s="15"/>
      <c r="E39" s="15"/>
      <c r="F39" s="9"/>
      <c r="G39" s="9"/>
      <c r="H39" s="9"/>
      <c r="I39" s="9"/>
      <c r="J39" s="9"/>
      <c r="K39" s="9"/>
      <c r="L39" s="7"/>
    </row>
    <row r="40">
      <c r="A40" s="7"/>
      <c r="B40" s="9"/>
      <c r="C40" s="9"/>
      <c r="D40" s="15"/>
      <c r="E40" s="15"/>
      <c r="F40" s="9"/>
      <c r="G40" s="9"/>
      <c r="H40" s="9"/>
      <c r="I40" s="9"/>
      <c r="J40" s="9"/>
      <c r="K40" s="9"/>
      <c r="L40" s="7"/>
    </row>
    <row r="41">
      <c r="A41" s="7"/>
      <c r="B41" s="9"/>
      <c r="C41" s="9"/>
      <c r="D41" s="15"/>
      <c r="E41" s="15"/>
      <c r="F41" s="9"/>
      <c r="G41" s="9"/>
      <c r="H41" s="9"/>
      <c r="I41" s="9"/>
      <c r="J41" s="9"/>
      <c r="K41" s="9"/>
      <c r="L41" s="7"/>
    </row>
    <row r="42">
      <c r="A42" s="7"/>
      <c r="B42" s="42"/>
      <c r="C42" s="42"/>
      <c r="D42" s="7"/>
      <c r="E42" s="7"/>
      <c r="F42" s="42"/>
      <c r="G42" s="42"/>
      <c r="H42" s="42"/>
      <c r="I42" s="42"/>
      <c r="J42" s="42"/>
      <c r="K42" s="42"/>
      <c r="L42" s="7"/>
    </row>
    <row r="43">
      <c r="A43" s="7"/>
      <c r="B43" s="42"/>
      <c r="C43" s="9"/>
      <c r="D43" s="7"/>
      <c r="E43" s="7"/>
      <c r="F43" s="42"/>
      <c r="G43" s="42"/>
      <c r="H43" s="42"/>
      <c r="I43" s="42"/>
      <c r="J43" s="42"/>
      <c r="K43" s="42"/>
      <c r="L43" s="7"/>
    </row>
    <row r="44">
      <c r="A44" s="7"/>
      <c r="B44" s="42"/>
      <c r="C44" s="9"/>
      <c r="D44" s="7"/>
      <c r="E44" s="7"/>
      <c r="F44" s="42"/>
      <c r="G44" s="42"/>
      <c r="H44" s="42"/>
      <c r="I44" s="42"/>
      <c r="J44" s="42"/>
      <c r="K44" s="42"/>
      <c r="L44" s="7"/>
    </row>
    <row r="45">
      <c r="A45" s="7"/>
      <c r="B45" s="42"/>
      <c r="C45" s="9"/>
      <c r="D45" s="7"/>
      <c r="E45" s="7"/>
      <c r="F45" s="42"/>
      <c r="G45" s="42"/>
      <c r="H45" s="42"/>
      <c r="I45" s="42"/>
      <c r="J45" s="42"/>
      <c r="K45" s="42"/>
      <c r="L45" s="7"/>
    </row>
    <row r="46">
      <c r="A46" s="7"/>
      <c r="B46" s="42"/>
      <c r="C46" s="9"/>
      <c r="D46" s="7"/>
      <c r="E46" s="7"/>
      <c r="F46" s="42"/>
      <c r="G46" s="42"/>
      <c r="H46" s="42"/>
      <c r="I46" s="42"/>
      <c r="J46" s="42"/>
      <c r="K46" s="42"/>
      <c r="L46" s="7"/>
    </row>
    <row r="47">
      <c r="A47" s="7"/>
      <c r="B47" s="42"/>
      <c r="C47" s="9"/>
      <c r="D47" s="7"/>
      <c r="E47" s="7"/>
      <c r="F47" s="42"/>
      <c r="G47" s="42"/>
      <c r="H47" s="42"/>
      <c r="I47" s="42"/>
      <c r="J47" s="42"/>
      <c r="K47" s="42"/>
      <c r="L47" s="7"/>
    </row>
    <row r="48">
      <c r="A48" s="7"/>
      <c r="B48" s="42"/>
      <c r="C48" s="9"/>
      <c r="D48" s="7"/>
      <c r="E48" s="7"/>
      <c r="F48" s="42"/>
      <c r="G48" s="42"/>
      <c r="H48" s="42"/>
      <c r="I48" s="42"/>
      <c r="J48" s="42"/>
      <c r="K48" s="42"/>
      <c r="L48" s="7"/>
    </row>
    <row r="49">
      <c r="A49" s="7"/>
      <c r="B49" s="42"/>
      <c r="C49" s="9"/>
      <c r="D49" s="7"/>
      <c r="E49" s="7"/>
      <c r="F49" s="42"/>
      <c r="G49" s="42"/>
      <c r="H49" s="42"/>
      <c r="I49" s="42"/>
      <c r="J49" s="42"/>
      <c r="K49" s="42"/>
      <c r="L49" s="7"/>
    </row>
    <row r="50">
      <c r="A50" s="7"/>
      <c r="B50" s="42"/>
      <c r="C50" s="9"/>
      <c r="D50" s="7"/>
      <c r="E50" s="7"/>
      <c r="F50" s="42"/>
      <c r="G50" s="42"/>
      <c r="H50" s="42"/>
      <c r="I50" s="42"/>
      <c r="J50" s="42"/>
      <c r="K50" s="42"/>
      <c r="L50" s="7"/>
    </row>
    <row r="51">
      <c r="A51" s="7"/>
      <c r="B51" s="42"/>
      <c r="C51" s="9"/>
      <c r="D51" s="7"/>
      <c r="E51" s="7"/>
      <c r="F51" s="42"/>
      <c r="G51" s="42"/>
      <c r="H51" s="42"/>
      <c r="I51" s="42"/>
      <c r="J51" s="42"/>
      <c r="K51" s="42"/>
      <c r="L51" s="7"/>
    </row>
    <row r="52">
      <c r="A52" s="7"/>
      <c r="B52" s="42"/>
      <c r="C52" s="9"/>
      <c r="D52" s="7"/>
      <c r="E52" s="7"/>
      <c r="F52" s="42"/>
      <c r="G52" s="42"/>
      <c r="H52" s="42"/>
      <c r="I52" s="42"/>
      <c r="J52" s="42"/>
      <c r="K52" s="42"/>
      <c r="L52" s="7"/>
    </row>
    <row r="53">
      <c r="A53" s="7"/>
      <c r="B53" s="42"/>
      <c r="C53" s="9"/>
      <c r="D53" s="7"/>
      <c r="E53" s="7"/>
      <c r="F53" s="42"/>
      <c r="G53" s="42"/>
      <c r="H53" s="42"/>
      <c r="I53" s="42"/>
      <c r="J53" s="42"/>
      <c r="K53" s="42"/>
      <c r="L53" s="7"/>
    </row>
    <row r="54">
      <c r="A54" s="7"/>
      <c r="B54" s="42"/>
      <c r="C54" s="9"/>
      <c r="D54" s="7"/>
      <c r="E54" s="7"/>
      <c r="F54" s="42"/>
      <c r="G54" s="42"/>
      <c r="H54" s="42"/>
      <c r="I54" s="42"/>
      <c r="J54" s="42"/>
      <c r="K54" s="42"/>
      <c r="L54" s="7"/>
    </row>
    <row r="55">
      <c r="A55" s="7"/>
      <c r="B55" s="42"/>
      <c r="C55" s="9"/>
      <c r="D55" s="7"/>
      <c r="E55" s="7"/>
      <c r="F55" s="42"/>
      <c r="G55" s="42"/>
      <c r="H55" s="42"/>
      <c r="I55" s="42"/>
      <c r="J55" s="42"/>
      <c r="K55" s="42"/>
      <c r="L55" s="7"/>
    </row>
    <row r="56">
      <c r="A56" s="7"/>
      <c r="B56" s="42"/>
      <c r="C56" s="9"/>
      <c r="D56" s="7"/>
      <c r="E56" s="7"/>
      <c r="F56" s="42"/>
      <c r="G56" s="42"/>
      <c r="H56" s="42"/>
      <c r="I56" s="42"/>
      <c r="J56" s="42"/>
      <c r="K56" s="42"/>
      <c r="L56" s="7"/>
    </row>
    <row r="57">
      <c r="A57" s="7"/>
      <c r="B57" s="42"/>
      <c r="C57" s="9"/>
      <c r="D57" s="7"/>
      <c r="E57" s="7"/>
      <c r="F57" s="42"/>
      <c r="G57" s="42"/>
      <c r="H57" s="42"/>
      <c r="I57" s="42"/>
      <c r="J57" s="42"/>
      <c r="K57" s="42"/>
      <c r="L57" s="7"/>
    </row>
    <row r="58">
      <c r="A58" s="7"/>
      <c r="B58" s="42"/>
      <c r="C58" s="9"/>
      <c r="D58" s="7"/>
      <c r="E58" s="7"/>
      <c r="F58" s="42"/>
      <c r="G58" s="42"/>
      <c r="H58" s="42"/>
      <c r="I58" s="42"/>
      <c r="J58" s="42"/>
      <c r="K58" s="42"/>
      <c r="L58" s="7"/>
    </row>
    <row r="59">
      <c r="A59" s="7"/>
      <c r="B59" s="42"/>
      <c r="C59" s="9"/>
      <c r="D59" s="7"/>
      <c r="E59" s="7"/>
      <c r="F59" s="42"/>
      <c r="G59" s="42"/>
      <c r="H59" s="42"/>
      <c r="I59" s="42"/>
      <c r="J59" s="42"/>
      <c r="K59" s="42"/>
      <c r="L59" s="7"/>
    </row>
    <row r="60">
      <c r="A60" s="7"/>
      <c r="B60" s="42"/>
      <c r="C60" s="9"/>
      <c r="D60" s="7"/>
      <c r="E60" s="7"/>
      <c r="F60" s="42"/>
      <c r="G60" s="42"/>
      <c r="H60" s="42"/>
      <c r="I60" s="42"/>
      <c r="J60" s="42"/>
      <c r="K60" s="42"/>
      <c r="L60" s="7"/>
    </row>
    <row r="61">
      <c r="A61" s="7"/>
      <c r="B61" s="42"/>
      <c r="C61" s="9"/>
      <c r="D61" s="7"/>
      <c r="E61" s="7"/>
      <c r="F61" s="42"/>
      <c r="G61" s="42"/>
      <c r="H61" s="42"/>
      <c r="I61" s="42"/>
      <c r="J61" s="42"/>
      <c r="K61" s="42"/>
      <c r="L61" s="7"/>
    </row>
    <row r="62">
      <c r="A62" s="7"/>
      <c r="B62" s="42"/>
      <c r="C62" s="9"/>
      <c r="D62" s="7"/>
      <c r="E62" s="7"/>
      <c r="F62" s="42"/>
      <c r="G62" s="42"/>
      <c r="H62" s="42"/>
      <c r="I62" s="42"/>
      <c r="J62" s="42"/>
      <c r="K62" s="42"/>
      <c r="L62" s="7"/>
    </row>
    <row r="63">
      <c r="A63" s="7"/>
      <c r="B63" s="42"/>
      <c r="C63" s="9"/>
      <c r="D63" s="7"/>
      <c r="E63" s="7"/>
      <c r="F63" s="42"/>
      <c r="G63" s="42"/>
      <c r="H63" s="42"/>
      <c r="I63" s="42"/>
      <c r="J63" s="42"/>
      <c r="K63" s="42"/>
      <c r="L63" s="7"/>
    </row>
    <row r="64">
      <c r="A64" s="7"/>
      <c r="B64" s="42"/>
      <c r="C64" s="9"/>
      <c r="D64" s="7"/>
      <c r="E64" s="7"/>
      <c r="F64" s="42"/>
      <c r="G64" s="42"/>
      <c r="H64" s="42"/>
      <c r="I64" s="42"/>
      <c r="J64" s="42"/>
      <c r="K64" s="42"/>
      <c r="L64" s="7"/>
    </row>
    <row r="65">
      <c r="A65" s="7"/>
      <c r="B65" s="42"/>
      <c r="C65" s="9"/>
      <c r="D65" s="7"/>
      <c r="E65" s="7"/>
      <c r="F65" s="42"/>
      <c r="G65" s="42"/>
      <c r="H65" s="42"/>
      <c r="I65" s="42"/>
      <c r="J65" s="42"/>
      <c r="K65" s="42"/>
      <c r="L65" s="7"/>
    </row>
    <row r="66">
      <c r="A66" s="7"/>
      <c r="B66" s="42"/>
      <c r="C66" s="9"/>
      <c r="D66" s="7"/>
      <c r="E66" s="7"/>
      <c r="F66" s="42"/>
      <c r="G66" s="42"/>
      <c r="H66" s="42"/>
      <c r="I66" s="42"/>
      <c r="J66" s="42"/>
      <c r="K66" s="42"/>
      <c r="L66" s="7"/>
    </row>
    <row r="67">
      <c r="A67" s="7"/>
      <c r="B67" s="42"/>
      <c r="C67" s="9"/>
      <c r="D67" s="7"/>
      <c r="E67" s="7"/>
      <c r="F67" s="42"/>
      <c r="G67" s="42"/>
      <c r="H67" s="42"/>
      <c r="I67" s="42"/>
      <c r="J67" s="42"/>
      <c r="K67" s="42"/>
      <c r="L67" s="7"/>
    </row>
    <row r="68">
      <c r="A68" s="7"/>
      <c r="B68" s="42"/>
      <c r="C68" s="9"/>
      <c r="D68" s="7"/>
      <c r="E68" s="7"/>
      <c r="F68" s="42"/>
      <c r="G68" s="42"/>
      <c r="H68" s="42"/>
      <c r="I68" s="42"/>
      <c r="J68" s="42"/>
      <c r="K68" s="42"/>
      <c r="L68" s="7"/>
    </row>
    <row r="69">
      <c r="A69" s="7"/>
      <c r="B69" s="42"/>
      <c r="C69" s="9"/>
      <c r="D69" s="7"/>
      <c r="E69" s="7"/>
      <c r="F69" s="42"/>
      <c r="G69" s="42"/>
      <c r="H69" s="42"/>
      <c r="I69" s="42"/>
      <c r="J69" s="42"/>
      <c r="K69" s="42"/>
      <c r="L69" s="7"/>
    </row>
    <row r="70">
      <c r="A70" s="7"/>
      <c r="B70" s="42"/>
      <c r="C70" s="9"/>
      <c r="D70" s="7"/>
      <c r="E70" s="7"/>
      <c r="F70" s="42"/>
      <c r="G70" s="42"/>
      <c r="H70" s="42"/>
      <c r="I70" s="42"/>
      <c r="J70" s="42"/>
      <c r="K70" s="42"/>
      <c r="L70" s="7"/>
    </row>
    <row r="71">
      <c r="A71" s="7"/>
      <c r="B71" s="42"/>
      <c r="C71" s="9"/>
      <c r="D71" s="7"/>
      <c r="E71" s="7"/>
      <c r="F71" s="42"/>
      <c r="G71" s="42"/>
      <c r="H71" s="42"/>
      <c r="I71" s="42"/>
      <c r="J71" s="42"/>
      <c r="K71" s="42"/>
      <c r="L71" s="7"/>
    </row>
    <row r="72">
      <c r="A72" s="7"/>
      <c r="B72" s="42"/>
      <c r="C72" s="9"/>
      <c r="D72" s="7"/>
      <c r="E72" s="7"/>
      <c r="F72" s="42"/>
      <c r="G72" s="42"/>
      <c r="H72" s="42"/>
      <c r="I72" s="42"/>
      <c r="J72" s="42"/>
      <c r="K72" s="42"/>
      <c r="L72" s="7"/>
    </row>
    <row r="73">
      <c r="A73" s="7"/>
      <c r="B73" s="42"/>
      <c r="C73" s="9"/>
      <c r="D73" s="7"/>
      <c r="E73" s="7"/>
      <c r="F73" s="42"/>
      <c r="G73" s="42"/>
      <c r="H73" s="42"/>
      <c r="I73" s="42"/>
      <c r="J73" s="42"/>
      <c r="K73" s="42"/>
      <c r="L73" s="7"/>
    </row>
    <row r="74">
      <c r="A74" s="7"/>
      <c r="B74" s="42"/>
      <c r="C74" s="9"/>
      <c r="D74" s="7"/>
      <c r="E74" s="7"/>
      <c r="F74" s="42"/>
      <c r="G74" s="42"/>
      <c r="H74" s="42"/>
      <c r="I74" s="42"/>
      <c r="J74" s="42"/>
      <c r="K74" s="42"/>
      <c r="L74" s="7"/>
    </row>
    <row r="75">
      <c r="A75" s="7"/>
      <c r="B75" s="42"/>
      <c r="C75" s="9"/>
      <c r="D75" s="7"/>
      <c r="E75" s="7"/>
      <c r="F75" s="42"/>
      <c r="G75" s="42"/>
      <c r="H75" s="42"/>
      <c r="I75" s="42"/>
      <c r="J75" s="42"/>
      <c r="K75" s="42"/>
      <c r="L75" s="7"/>
    </row>
    <row r="76">
      <c r="A76" s="7"/>
      <c r="B76" s="42"/>
      <c r="C76" s="9"/>
      <c r="D76" s="7"/>
      <c r="E76" s="7"/>
      <c r="F76" s="42"/>
      <c r="G76" s="42"/>
      <c r="H76" s="42"/>
      <c r="I76" s="42"/>
      <c r="J76" s="42"/>
      <c r="K76" s="42"/>
      <c r="L76" s="7"/>
    </row>
    <row r="77">
      <c r="A77" s="7"/>
      <c r="B77" s="42"/>
      <c r="C77" s="9"/>
      <c r="D77" s="7"/>
      <c r="E77" s="7"/>
      <c r="F77" s="42"/>
      <c r="G77" s="42"/>
      <c r="H77" s="42"/>
      <c r="I77" s="42"/>
      <c r="J77" s="42"/>
      <c r="K77" s="42"/>
      <c r="L77" s="7"/>
    </row>
    <row r="78">
      <c r="A78" s="7"/>
      <c r="B78" s="42"/>
      <c r="C78" s="9"/>
      <c r="D78" s="7"/>
      <c r="E78" s="7"/>
      <c r="F78" s="42"/>
      <c r="G78" s="42"/>
      <c r="H78" s="42"/>
      <c r="I78" s="42"/>
      <c r="J78" s="42"/>
      <c r="K78" s="42"/>
      <c r="L78" s="7"/>
    </row>
    <row r="79">
      <c r="A79" s="7"/>
      <c r="B79" s="42"/>
      <c r="C79" s="9"/>
      <c r="D79" s="7"/>
      <c r="E79" s="7"/>
      <c r="F79" s="42"/>
      <c r="G79" s="42"/>
      <c r="H79" s="42"/>
      <c r="I79" s="42"/>
      <c r="J79" s="42"/>
      <c r="K79" s="42"/>
      <c r="L79" s="7"/>
    </row>
    <row r="80">
      <c r="A80" s="7"/>
      <c r="B80" s="42"/>
      <c r="C80" s="9"/>
      <c r="D80" s="7"/>
      <c r="E80" s="7"/>
      <c r="F80" s="42"/>
      <c r="G80" s="42"/>
      <c r="H80" s="42"/>
      <c r="I80" s="42"/>
      <c r="J80" s="42"/>
      <c r="K80" s="42"/>
      <c r="L80" s="7"/>
    </row>
    <row r="81">
      <c r="A81" s="7"/>
      <c r="B81" s="42"/>
      <c r="C81" s="9"/>
      <c r="D81" s="7"/>
      <c r="E81" s="7"/>
      <c r="F81" s="42"/>
      <c r="G81" s="42"/>
      <c r="H81" s="42"/>
      <c r="I81" s="42"/>
      <c r="J81" s="42"/>
      <c r="K81" s="42"/>
      <c r="L81" s="7"/>
    </row>
    <row r="82">
      <c r="A82" s="7"/>
      <c r="B82" s="42"/>
      <c r="C82" s="9"/>
      <c r="D82" s="7"/>
      <c r="E82" s="7"/>
      <c r="F82" s="42"/>
      <c r="G82" s="42"/>
      <c r="H82" s="42"/>
      <c r="I82" s="42"/>
      <c r="J82" s="42"/>
      <c r="K82" s="42"/>
      <c r="L82" s="7"/>
    </row>
    <row r="83">
      <c r="A83" s="7"/>
      <c r="B83" s="42"/>
      <c r="C83" s="9"/>
      <c r="D83" s="7"/>
      <c r="E83" s="7"/>
      <c r="F83" s="42"/>
      <c r="G83" s="42"/>
      <c r="H83" s="42"/>
      <c r="I83" s="42"/>
      <c r="J83" s="42"/>
      <c r="K83" s="42"/>
      <c r="L83" s="7"/>
    </row>
    <row r="84">
      <c r="A84" s="7"/>
      <c r="B84" s="42"/>
      <c r="C84" s="9"/>
      <c r="D84" s="7"/>
      <c r="E84" s="7"/>
      <c r="F84" s="42"/>
      <c r="G84" s="42"/>
      <c r="H84" s="42"/>
      <c r="I84" s="42"/>
      <c r="J84" s="42"/>
      <c r="K84" s="42"/>
      <c r="L84" s="7"/>
    </row>
    <row r="85">
      <c r="A85" s="7"/>
      <c r="B85" s="42"/>
      <c r="C85" s="9"/>
      <c r="D85" s="7"/>
      <c r="E85" s="7"/>
      <c r="F85" s="42"/>
      <c r="G85" s="42"/>
      <c r="H85" s="42"/>
      <c r="I85" s="42"/>
      <c r="J85" s="42"/>
      <c r="K85" s="42"/>
      <c r="L85" s="7"/>
    </row>
    <row r="86">
      <c r="A86" s="7"/>
      <c r="B86" s="42"/>
      <c r="C86" s="9"/>
      <c r="D86" s="7"/>
      <c r="E86" s="7"/>
      <c r="F86" s="42"/>
      <c r="G86" s="42"/>
      <c r="H86" s="42"/>
      <c r="I86" s="42"/>
      <c r="J86" s="42"/>
      <c r="K86" s="42"/>
      <c r="L86" s="7"/>
    </row>
    <row r="87">
      <c r="A87" s="7"/>
      <c r="B87" s="42"/>
      <c r="C87" s="9"/>
      <c r="D87" s="7"/>
      <c r="E87" s="7"/>
      <c r="F87" s="42"/>
      <c r="G87" s="42"/>
      <c r="H87" s="42"/>
      <c r="I87" s="42"/>
      <c r="J87" s="42"/>
      <c r="K87" s="42"/>
      <c r="L87" s="7"/>
    </row>
    <row r="88">
      <c r="A88" s="7"/>
      <c r="B88" s="42"/>
      <c r="C88" s="9"/>
      <c r="D88" s="7"/>
      <c r="E88" s="7"/>
      <c r="F88" s="42"/>
      <c r="G88" s="42"/>
      <c r="H88" s="42"/>
      <c r="I88" s="42"/>
      <c r="J88" s="42"/>
      <c r="K88" s="42"/>
      <c r="L88" s="7"/>
    </row>
    <row r="89">
      <c r="A89" s="7"/>
      <c r="B89" s="42"/>
      <c r="C89" s="9"/>
      <c r="D89" s="7"/>
      <c r="E89" s="7"/>
      <c r="F89" s="42"/>
      <c r="G89" s="42"/>
      <c r="H89" s="42"/>
      <c r="I89" s="42"/>
      <c r="J89" s="42"/>
      <c r="K89" s="42"/>
      <c r="L89" s="7"/>
    </row>
    <row r="90">
      <c r="A90" s="7"/>
      <c r="B90" s="42"/>
      <c r="C90" s="9"/>
      <c r="D90" s="7"/>
      <c r="E90" s="7"/>
      <c r="F90" s="42"/>
      <c r="G90" s="42"/>
      <c r="H90" s="42"/>
      <c r="I90" s="42"/>
      <c r="J90" s="42"/>
      <c r="K90" s="42"/>
      <c r="L90" s="7"/>
    </row>
    <row r="91">
      <c r="A91" s="7"/>
      <c r="B91" s="42"/>
      <c r="C91" s="9"/>
      <c r="D91" s="7"/>
      <c r="E91" s="7"/>
      <c r="F91" s="42"/>
      <c r="G91" s="42"/>
      <c r="H91" s="42"/>
      <c r="I91" s="42"/>
      <c r="J91" s="42"/>
      <c r="K91" s="42"/>
      <c r="L91" s="7"/>
    </row>
    <row r="92">
      <c r="A92" s="7"/>
      <c r="B92" s="42"/>
      <c r="C92" s="9"/>
      <c r="D92" s="7"/>
      <c r="E92" s="7"/>
      <c r="F92" s="42"/>
      <c r="G92" s="42"/>
      <c r="H92" s="42"/>
      <c r="I92" s="42"/>
      <c r="J92" s="42"/>
      <c r="K92" s="42"/>
      <c r="L92" s="7"/>
    </row>
    <row r="93">
      <c r="A93" s="7"/>
      <c r="B93" s="42"/>
      <c r="C93" s="9"/>
      <c r="D93" s="7"/>
      <c r="E93" s="7"/>
      <c r="F93" s="42"/>
      <c r="G93" s="42"/>
      <c r="H93" s="42"/>
      <c r="I93" s="42"/>
      <c r="J93" s="42"/>
      <c r="K93" s="42"/>
      <c r="L93" s="7"/>
    </row>
    <row r="94">
      <c r="A94" s="7"/>
      <c r="B94" s="42"/>
      <c r="C94" s="9"/>
      <c r="D94" s="7"/>
      <c r="E94" s="7"/>
      <c r="F94" s="42"/>
      <c r="G94" s="42"/>
      <c r="H94" s="42"/>
      <c r="I94" s="42"/>
      <c r="J94" s="42"/>
      <c r="K94" s="42"/>
      <c r="L94" s="7"/>
    </row>
    <row r="95">
      <c r="A95" s="7"/>
      <c r="B95" s="42"/>
      <c r="C95" s="9"/>
      <c r="D95" s="7"/>
      <c r="E95" s="7"/>
      <c r="F95" s="42"/>
      <c r="G95" s="42"/>
      <c r="H95" s="42"/>
      <c r="I95" s="42"/>
      <c r="J95" s="42"/>
      <c r="K95" s="42"/>
      <c r="L95" s="7"/>
    </row>
    <row r="96">
      <c r="A96" s="7"/>
      <c r="B96" s="42"/>
      <c r="C96" s="9"/>
      <c r="D96" s="7"/>
      <c r="E96" s="7"/>
      <c r="F96" s="42"/>
      <c r="G96" s="42"/>
      <c r="H96" s="42"/>
      <c r="I96" s="42"/>
      <c r="J96" s="42"/>
      <c r="K96" s="42"/>
      <c r="L96" s="7"/>
    </row>
    <row r="97">
      <c r="A97" s="7"/>
      <c r="B97" s="42"/>
      <c r="C97" s="9"/>
      <c r="D97" s="7"/>
      <c r="E97" s="7"/>
      <c r="F97" s="42"/>
      <c r="G97" s="42"/>
      <c r="H97" s="42"/>
      <c r="I97" s="42"/>
      <c r="J97" s="42"/>
      <c r="K97" s="42"/>
      <c r="L97" s="7"/>
    </row>
    <row r="98">
      <c r="A98" s="7"/>
      <c r="B98" s="42"/>
      <c r="C98" s="9"/>
      <c r="D98" s="7"/>
      <c r="E98" s="7"/>
      <c r="F98" s="42"/>
      <c r="G98" s="42"/>
      <c r="H98" s="42"/>
      <c r="I98" s="42"/>
      <c r="J98" s="42"/>
      <c r="K98" s="42"/>
      <c r="L98" s="7"/>
    </row>
    <row r="99">
      <c r="A99" s="7"/>
      <c r="B99" s="42"/>
      <c r="C99" s="9"/>
      <c r="D99" s="7"/>
      <c r="E99" s="7"/>
      <c r="F99" s="42"/>
      <c r="G99" s="42"/>
      <c r="H99" s="42"/>
      <c r="I99" s="42"/>
      <c r="J99" s="42"/>
      <c r="K99" s="42"/>
      <c r="L99" s="7"/>
    </row>
    <row r="100">
      <c r="A100" s="7"/>
      <c r="B100" s="42"/>
      <c r="C100" s="9"/>
      <c r="D100" s="7"/>
      <c r="E100" s="7"/>
      <c r="F100" s="42"/>
      <c r="G100" s="42"/>
      <c r="H100" s="42"/>
      <c r="I100" s="42"/>
      <c r="J100" s="42"/>
      <c r="K100" s="42"/>
      <c r="L100" s="7"/>
    </row>
    <row r="101">
      <c r="A101" s="7"/>
      <c r="B101" s="42"/>
      <c r="C101" s="9"/>
      <c r="D101" s="7"/>
      <c r="E101" s="7"/>
      <c r="F101" s="42"/>
      <c r="G101" s="42"/>
      <c r="H101" s="42"/>
      <c r="I101" s="42"/>
      <c r="J101" s="42"/>
      <c r="K101" s="42"/>
      <c r="L101" s="7"/>
    </row>
    <row r="102">
      <c r="A102" s="7"/>
      <c r="B102" s="42"/>
      <c r="C102" s="9"/>
      <c r="D102" s="7"/>
      <c r="E102" s="7"/>
      <c r="F102" s="42"/>
      <c r="G102" s="42"/>
      <c r="H102" s="42"/>
      <c r="I102" s="42"/>
      <c r="J102" s="42"/>
      <c r="K102" s="42"/>
      <c r="L102" s="7"/>
    </row>
    <row r="103">
      <c r="A103" s="7"/>
      <c r="B103" s="42"/>
      <c r="C103" s="9"/>
      <c r="D103" s="7"/>
      <c r="E103" s="7"/>
      <c r="F103" s="42"/>
      <c r="G103" s="42"/>
      <c r="H103" s="42"/>
      <c r="I103" s="42"/>
      <c r="J103" s="42"/>
      <c r="K103" s="42"/>
      <c r="L103" s="7"/>
    </row>
    <row r="104">
      <c r="A104" s="7"/>
      <c r="B104" s="42"/>
      <c r="C104" s="9"/>
      <c r="D104" s="7"/>
      <c r="E104" s="7"/>
      <c r="F104" s="42"/>
      <c r="G104" s="42"/>
      <c r="H104" s="42"/>
      <c r="I104" s="42"/>
      <c r="J104" s="42"/>
      <c r="K104" s="42"/>
      <c r="L104" s="7"/>
    </row>
    <row r="105">
      <c r="A105" s="7"/>
      <c r="B105" s="42"/>
      <c r="C105" s="9"/>
      <c r="D105" s="7"/>
      <c r="E105" s="7"/>
      <c r="F105" s="42"/>
      <c r="G105" s="42"/>
      <c r="H105" s="42"/>
      <c r="I105" s="42"/>
      <c r="J105" s="42"/>
      <c r="K105" s="42"/>
      <c r="L105" s="7"/>
    </row>
    <row r="106">
      <c r="A106" s="7"/>
      <c r="B106" s="42"/>
      <c r="C106" s="9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7"/>
      <c r="B107" s="42"/>
      <c r="C107" s="9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7"/>
      <c r="B108" s="42"/>
      <c r="C108" s="9"/>
      <c r="D108" s="7"/>
      <c r="E108" s="7"/>
      <c r="F108" s="7"/>
      <c r="G108" s="7"/>
      <c r="H108" s="7"/>
      <c r="I108" s="7"/>
      <c r="J108" s="7"/>
      <c r="K108" s="7"/>
      <c r="L108" s="7"/>
    </row>
    <row r="109">
      <c r="A109" s="7"/>
      <c r="B109" s="42"/>
      <c r="C109" s="9"/>
      <c r="D109" s="7"/>
      <c r="E109" s="7"/>
      <c r="F109" s="7"/>
      <c r="G109" s="7"/>
      <c r="H109" s="7"/>
      <c r="I109" s="7"/>
      <c r="J109" s="7"/>
      <c r="K109" s="7"/>
      <c r="L109" s="7"/>
    </row>
    <row r="110">
      <c r="A110" s="7"/>
      <c r="B110" s="42"/>
      <c r="C110" s="9"/>
      <c r="D110" s="7"/>
      <c r="E110" s="7"/>
      <c r="F110" s="7"/>
      <c r="G110" s="7"/>
      <c r="H110" s="7"/>
      <c r="I110" s="7"/>
      <c r="J110" s="7"/>
      <c r="K110" s="7"/>
      <c r="L110" s="7"/>
    </row>
    <row r="111">
      <c r="A111" s="7"/>
      <c r="B111" s="42"/>
      <c r="C111" s="9"/>
      <c r="D111" s="7"/>
      <c r="E111" s="7"/>
      <c r="F111" s="7"/>
      <c r="G111" s="7"/>
      <c r="H111" s="7"/>
      <c r="I111" s="7"/>
      <c r="J111" s="7"/>
      <c r="K111" s="7"/>
      <c r="L111" s="7"/>
    </row>
    <row r="112">
      <c r="A112" s="7"/>
      <c r="B112" s="42"/>
      <c r="C112" s="9"/>
      <c r="D112" s="7"/>
      <c r="E112" s="7"/>
      <c r="F112" s="7"/>
      <c r="G112" s="7"/>
      <c r="H112" s="7"/>
      <c r="I112" s="7"/>
      <c r="J112" s="7"/>
      <c r="K112" s="7"/>
      <c r="L112" s="7"/>
    </row>
    <row r="113">
      <c r="A113" s="7"/>
      <c r="B113" s="42"/>
      <c r="C113" s="9"/>
      <c r="D113" s="7"/>
      <c r="E113" s="7"/>
      <c r="F113" s="7"/>
      <c r="G113" s="7"/>
      <c r="H113" s="7"/>
      <c r="I113" s="7"/>
      <c r="J113" s="7"/>
      <c r="K113" s="7"/>
      <c r="L113" s="7"/>
    </row>
    <row r="114">
      <c r="A114" s="7"/>
      <c r="B114" s="42"/>
      <c r="C114" s="9"/>
      <c r="D114" s="7"/>
      <c r="E114" s="7"/>
      <c r="F114" s="7"/>
      <c r="G114" s="7"/>
      <c r="H114" s="7"/>
      <c r="I114" s="7"/>
      <c r="J114" s="7"/>
      <c r="K114" s="7"/>
      <c r="L114" s="7"/>
    </row>
    <row r="115">
      <c r="A115" s="7"/>
      <c r="B115" s="42"/>
      <c r="C115" s="9"/>
      <c r="D115" s="7"/>
      <c r="E115" s="7"/>
      <c r="F115" s="7"/>
      <c r="G115" s="7"/>
      <c r="H115" s="7"/>
      <c r="I115" s="7"/>
      <c r="J115" s="7"/>
      <c r="K115" s="7"/>
      <c r="L115" s="7"/>
    </row>
    <row r="116">
      <c r="A116" s="7"/>
      <c r="B116" s="42"/>
      <c r="C116" s="9"/>
      <c r="D116" s="7"/>
      <c r="E116" s="7"/>
      <c r="F116" s="7"/>
      <c r="G116" s="7"/>
      <c r="H116" s="7"/>
      <c r="I116" s="7"/>
      <c r="J116" s="7"/>
      <c r="K116" s="7"/>
      <c r="L116" s="7"/>
    </row>
    <row r="117">
      <c r="A117" s="7"/>
      <c r="B117" s="42"/>
      <c r="C117" s="9"/>
      <c r="D117" s="7"/>
      <c r="E117" s="7"/>
      <c r="F117" s="7"/>
      <c r="G117" s="7"/>
      <c r="H117" s="7"/>
      <c r="I117" s="7"/>
      <c r="J117" s="7"/>
      <c r="K117" s="7"/>
      <c r="L117" s="7"/>
    </row>
    <row r="118">
      <c r="A118" s="7"/>
      <c r="B118" s="42"/>
      <c r="C118" s="9"/>
      <c r="D118" s="7"/>
      <c r="E118" s="7"/>
      <c r="F118" s="7"/>
      <c r="G118" s="7"/>
      <c r="H118" s="7"/>
      <c r="I118" s="7"/>
      <c r="J118" s="7"/>
      <c r="K118" s="7"/>
      <c r="L118" s="7"/>
    </row>
    <row r="119">
      <c r="A119" s="7"/>
      <c r="B119" s="42"/>
      <c r="C119" s="9"/>
      <c r="D119" s="7"/>
      <c r="E119" s="7"/>
      <c r="F119" s="7"/>
      <c r="G119" s="7"/>
      <c r="H119" s="7"/>
      <c r="I119" s="7"/>
      <c r="J119" s="7"/>
      <c r="K119" s="7"/>
      <c r="L119" s="7"/>
    </row>
    <row r="120">
      <c r="A120" s="7"/>
      <c r="B120" s="42"/>
      <c r="C120" s="9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7"/>
      <c r="B121" s="42"/>
      <c r="C121" s="9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7"/>
      <c r="B122" s="42"/>
      <c r="C122" s="9"/>
      <c r="D122" s="7"/>
      <c r="E122" s="7"/>
      <c r="F122" s="7"/>
      <c r="G122" s="7"/>
      <c r="H122" s="7"/>
      <c r="I122" s="7"/>
      <c r="J122" s="7"/>
      <c r="K122" s="7"/>
      <c r="L122" s="7"/>
    </row>
    <row r="123">
      <c r="A123" s="7"/>
      <c r="B123" s="42"/>
      <c r="C123" s="9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7"/>
      <c r="B124" s="42"/>
      <c r="C124" s="9"/>
      <c r="D124" s="7"/>
      <c r="E124" s="7"/>
      <c r="F124" s="7"/>
      <c r="G124" s="7"/>
      <c r="H124" s="7"/>
      <c r="I124" s="7"/>
      <c r="J124" s="7"/>
      <c r="K124" s="7"/>
      <c r="L124" s="7"/>
    </row>
    <row r="125">
      <c r="A125" s="7"/>
      <c r="B125" s="42"/>
      <c r="C125" s="9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7"/>
      <c r="B126" s="42"/>
      <c r="C126" s="9"/>
      <c r="D126" s="7"/>
      <c r="E126" s="7"/>
      <c r="F126" s="7"/>
      <c r="G126" s="7"/>
      <c r="H126" s="7"/>
      <c r="I126" s="7"/>
      <c r="J126" s="7"/>
      <c r="K126" s="7"/>
      <c r="L126" s="7"/>
    </row>
    <row r="127">
      <c r="A127" s="7"/>
      <c r="B127" s="42"/>
      <c r="C127" s="9"/>
      <c r="D127" s="7"/>
      <c r="E127" s="7"/>
      <c r="F127" s="7"/>
      <c r="G127" s="7"/>
      <c r="H127" s="7"/>
      <c r="I127" s="7"/>
      <c r="J127" s="7"/>
      <c r="K127" s="7"/>
      <c r="L127" s="7"/>
    </row>
    <row r="128">
      <c r="A128" s="7"/>
      <c r="B128" s="42"/>
      <c r="C128" s="9"/>
      <c r="D128" s="7"/>
      <c r="E128" s="7"/>
      <c r="F128" s="7"/>
      <c r="G128" s="7"/>
      <c r="H128" s="7"/>
      <c r="I128" s="7"/>
      <c r="J128" s="7"/>
      <c r="K128" s="7"/>
      <c r="L128" s="7"/>
    </row>
    <row r="129">
      <c r="A129" s="7"/>
      <c r="B129" s="42"/>
      <c r="C129" s="9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7"/>
      <c r="B130" s="42"/>
      <c r="C130" s="9"/>
      <c r="D130" s="7"/>
      <c r="E130" s="7"/>
      <c r="F130" s="7"/>
      <c r="G130" s="7"/>
      <c r="H130" s="7"/>
      <c r="I130" s="7"/>
      <c r="J130" s="7"/>
      <c r="K130" s="7"/>
      <c r="L130" s="7"/>
    </row>
    <row r="131">
      <c r="A131" s="7"/>
      <c r="B131" s="42"/>
      <c r="C131" s="9"/>
      <c r="D131" s="7"/>
      <c r="E131" s="7"/>
      <c r="F131" s="7"/>
      <c r="G131" s="7"/>
      <c r="H131" s="7"/>
      <c r="I131" s="7"/>
      <c r="J131" s="7"/>
      <c r="K131" s="7"/>
      <c r="L131" s="7"/>
    </row>
    <row r="132">
      <c r="A132" s="7"/>
      <c r="B132" s="42"/>
      <c r="C132" s="9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7"/>
      <c r="B133" s="42"/>
      <c r="C133" s="9"/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7"/>
      <c r="B134" s="42"/>
      <c r="C134" s="9"/>
      <c r="D134" s="7"/>
      <c r="E134" s="7"/>
      <c r="F134" s="7"/>
      <c r="G134" s="7"/>
      <c r="H134" s="7"/>
      <c r="I134" s="7"/>
      <c r="J134" s="7"/>
      <c r="K134" s="7"/>
      <c r="L134" s="7"/>
    </row>
    <row r="135">
      <c r="A135" s="7"/>
      <c r="B135" s="42"/>
      <c r="C135" s="9"/>
      <c r="D135" s="7"/>
      <c r="E135" s="7"/>
      <c r="F135" s="7"/>
      <c r="G135" s="7"/>
      <c r="H135" s="7"/>
      <c r="I135" s="7"/>
      <c r="J135" s="7"/>
      <c r="K135" s="7"/>
      <c r="L135" s="7"/>
    </row>
    <row r="136">
      <c r="A136" s="7"/>
      <c r="B136" s="42"/>
      <c r="C136" s="9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7"/>
      <c r="B137" s="42"/>
      <c r="C137" s="9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7"/>
      <c r="B138" s="42"/>
      <c r="C138" s="9"/>
      <c r="D138" s="7"/>
      <c r="E138" s="7"/>
      <c r="F138" s="7"/>
      <c r="G138" s="7"/>
      <c r="H138" s="7"/>
      <c r="I138" s="7"/>
      <c r="J138" s="7"/>
      <c r="K138" s="7"/>
      <c r="L138" s="7"/>
    </row>
    <row r="139">
      <c r="A139" s="7"/>
      <c r="B139" s="42"/>
      <c r="C139" s="9"/>
      <c r="D139" s="7"/>
      <c r="E139" s="7"/>
      <c r="F139" s="7"/>
      <c r="G139" s="7"/>
      <c r="H139" s="7"/>
      <c r="I139" s="7"/>
      <c r="J139" s="7"/>
      <c r="K139" s="7"/>
      <c r="L139" s="7"/>
    </row>
    <row r="140">
      <c r="A140" s="7"/>
      <c r="B140" s="42"/>
      <c r="C140" s="9"/>
      <c r="D140" s="7"/>
      <c r="E140" s="7"/>
      <c r="F140" s="7"/>
      <c r="G140" s="7"/>
      <c r="H140" s="7"/>
      <c r="I140" s="7"/>
      <c r="J140" s="7"/>
      <c r="K140" s="7"/>
      <c r="L140" s="7"/>
    </row>
    <row r="141">
      <c r="A141" s="7"/>
      <c r="B141" s="42"/>
      <c r="C141" s="9"/>
      <c r="D141" s="7"/>
      <c r="E141" s="7"/>
      <c r="F141" s="7"/>
      <c r="G141" s="7"/>
      <c r="H141" s="7"/>
      <c r="I141" s="7"/>
      <c r="J141" s="7"/>
      <c r="K141" s="7"/>
      <c r="L141" s="7"/>
    </row>
    <row r="142">
      <c r="A142" s="7"/>
      <c r="B142" s="42"/>
      <c r="C142" s="9"/>
      <c r="D142" s="7"/>
      <c r="E142" s="7"/>
      <c r="F142" s="7"/>
      <c r="G142" s="7"/>
      <c r="H142" s="7"/>
      <c r="I142" s="7"/>
      <c r="J142" s="7"/>
      <c r="K142" s="7"/>
      <c r="L142" s="7"/>
    </row>
    <row r="143">
      <c r="A143" s="7"/>
      <c r="B143" s="42"/>
      <c r="C143" s="9"/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7"/>
      <c r="B144" s="42"/>
      <c r="C144" s="9"/>
      <c r="D144" s="7"/>
      <c r="E144" s="7"/>
      <c r="F144" s="7"/>
      <c r="G144" s="7"/>
      <c r="H144" s="7"/>
      <c r="I144" s="7"/>
      <c r="J144" s="7"/>
      <c r="K144" s="7"/>
      <c r="L144" s="7"/>
    </row>
    <row r="145">
      <c r="A145" s="7"/>
      <c r="B145" s="42"/>
      <c r="C145" s="9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7"/>
      <c r="B146" s="42"/>
      <c r="C146" s="9"/>
      <c r="D146" s="7"/>
      <c r="E146" s="7"/>
      <c r="F146" s="7"/>
      <c r="G146" s="7"/>
      <c r="H146" s="7"/>
      <c r="I146" s="7"/>
      <c r="J146" s="7"/>
      <c r="K146" s="7"/>
      <c r="L146" s="7"/>
    </row>
    <row r="147">
      <c r="A147" s="7"/>
      <c r="B147" s="42"/>
      <c r="C147" s="9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7"/>
      <c r="B148" s="42"/>
      <c r="C148" s="9"/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7"/>
      <c r="B149" s="42"/>
      <c r="C149" s="9"/>
      <c r="D149" s="7"/>
      <c r="E149" s="7"/>
      <c r="F149" s="7"/>
      <c r="G149" s="7"/>
      <c r="H149" s="7"/>
      <c r="I149" s="7"/>
      <c r="J149" s="7"/>
      <c r="K149" s="7"/>
      <c r="L149" s="7"/>
    </row>
    <row r="150">
      <c r="A150" s="7"/>
      <c r="B150" s="42"/>
      <c r="C150" s="9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7"/>
      <c r="B151" s="42"/>
      <c r="C151" s="9"/>
      <c r="D151" s="7"/>
      <c r="E151" s="7"/>
      <c r="F151" s="7"/>
      <c r="G151" s="7"/>
      <c r="H151" s="7"/>
      <c r="I151" s="7"/>
      <c r="J151" s="7"/>
      <c r="K151" s="7"/>
      <c r="L151" s="7"/>
    </row>
    <row r="152">
      <c r="A152" s="7"/>
      <c r="B152" s="42"/>
      <c r="C152" s="9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7"/>
      <c r="B153" s="42"/>
      <c r="C153" s="9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7"/>
      <c r="B154" s="42"/>
      <c r="C154" s="9"/>
      <c r="D154" s="7"/>
      <c r="E154" s="7"/>
      <c r="F154" s="7"/>
      <c r="G154" s="7"/>
      <c r="H154" s="7"/>
      <c r="I154" s="7"/>
      <c r="J154" s="7"/>
      <c r="K154" s="7"/>
      <c r="L154" s="7"/>
    </row>
    <row r="155">
      <c r="A155" s="7"/>
      <c r="B155" s="42"/>
      <c r="C155" s="9"/>
      <c r="D155" s="7"/>
      <c r="E155" s="7"/>
      <c r="F155" s="7"/>
      <c r="G155" s="7"/>
      <c r="H155" s="7"/>
      <c r="I155" s="7"/>
      <c r="J155" s="7"/>
      <c r="K155" s="7"/>
      <c r="L155" s="7"/>
    </row>
    <row r="156">
      <c r="A156" s="7"/>
      <c r="B156" s="42"/>
      <c r="C156" s="9"/>
      <c r="D156" s="7"/>
      <c r="E156" s="7"/>
      <c r="F156" s="7"/>
      <c r="G156" s="7"/>
      <c r="H156" s="7"/>
      <c r="I156" s="7"/>
      <c r="J156" s="7"/>
      <c r="K156" s="7"/>
      <c r="L156" s="7"/>
    </row>
    <row r="157">
      <c r="A157" s="7"/>
      <c r="B157" s="42"/>
      <c r="C157" s="9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7"/>
      <c r="B158" s="42"/>
      <c r="C158" s="9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7"/>
      <c r="B159" s="42"/>
      <c r="C159" s="9"/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7"/>
      <c r="B160" s="42"/>
      <c r="C160" s="9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7"/>
      <c r="B161" s="42"/>
      <c r="C161" s="9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7"/>
      <c r="B162" s="42"/>
      <c r="C162" s="9"/>
      <c r="D162" s="7"/>
      <c r="E162" s="7"/>
      <c r="F162" s="7"/>
      <c r="G162" s="7"/>
      <c r="H162" s="7"/>
      <c r="I162" s="7"/>
      <c r="J162" s="7"/>
      <c r="K162" s="7"/>
      <c r="L162" s="7"/>
    </row>
    <row r="163">
      <c r="A163" s="7"/>
      <c r="B163" s="42"/>
      <c r="C163" s="9"/>
      <c r="D163" s="7"/>
      <c r="E163" s="7"/>
      <c r="F163" s="7"/>
      <c r="G163" s="7"/>
      <c r="H163" s="7"/>
      <c r="I163" s="7"/>
      <c r="J163" s="7"/>
      <c r="K163" s="7"/>
      <c r="L163" s="7"/>
    </row>
    <row r="164">
      <c r="A164" s="7"/>
      <c r="B164" s="42"/>
      <c r="C164" s="9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7"/>
      <c r="B165" s="42"/>
      <c r="C165" s="9"/>
      <c r="D165" s="7"/>
      <c r="E165" s="7"/>
      <c r="F165" s="7"/>
      <c r="G165" s="7"/>
      <c r="H165" s="7"/>
      <c r="I165" s="7"/>
      <c r="J165" s="7"/>
      <c r="K165" s="7"/>
      <c r="L165" s="7"/>
    </row>
    <row r="166">
      <c r="A166" s="7"/>
      <c r="B166" s="42"/>
      <c r="C166" s="9"/>
      <c r="D166" s="7"/>
      <c r="E166" s="7"/>
      <c r="F166" s="7"/>
      <c r="G166" s="7"/>
      <c r="H166" s="7"/>
      <c r="I166" s="7"/>
      <c r="J166" s="7"/>
      <c r="K166" s="7"/>
      <c r="L166" s="7"/>
    </row>
    <row r="167">
      <c r="A167" s="7"/>
      <c r="B167" s="42"/>
      <c r="C167" s="9"/>
      <c r="D167" s="7"/>
      <c r="E167" s="7"/>
      <c r="F167" s="7"/>
      <c r="G167" s="7"/>
      <c r="H167" s="7"/>
      <c r="I167" s="7"/>
      <c r="J167" s="7"/>
      <c r="K167" s="7"/>
      <c r="L167" s="7"/>
    </row>
    <row r="168">
      <c r="A168" s="7"/>
      <c r="B168" s="42"/>
      <c r="C168" s="9"/>
      <c r="D168" s="7"/>
      <c r="E168" s="7"/>
      <c r="F168" s="7"/>
      <c r="G168" s="7"/>
      <c r="H168" s="7"/>
      <c r="I168" s="7"/>
      <c r="J168" s="7"/>
      <c r="K168" s="7"/>
      <c r="L168" s="7"/>
    </row>
    <row r="169">
      <c r="A169" s="7"/>
      <c r="B169" s="42"/>
      <c r="C169" s="9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7"/>
      <c r="B170" s="42"/>
      <c r="C170" s="9"/>
      <c r="D170" s="7"/>
      <c r="E170" s="7"/>
      <c r="F170" s="7"/>
      <c r="G170" s="7"/>
      <c r="H170" s="7"/>
      <c r="I170" s="7"/>
      <c r="J170" s="7"/>
      <c r="K170" s="7"/>
      <c r="L170" s="7"/>
    </row>
    <row r="171">
      <c r="A171" s="7"/>
      <c r="B171" s="42"/>
      <c r="C171" s="9"/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7"/>
      <c r="B172" s="42"/>
      <c r="C172" s="9"/>
      <c r="D172" s="7"/>
      <c r="E172" s="7"/>
      <c r="F172" s="7"/>
      <c r="G172" s="7"/>
      <c r="H172" s="7"/>
      <c r="I172" s="7"/>
      <c r="J172" s="7"/>
      <c r="K172" s="7"/>
      <c r="L172" s="7"/>
    </row>
    <row r="173">
      <c r="A173" s="7"/>
      <c r="B173" s="42"/>
      <c r="C173" s="9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7"/>
      <c r="B174" s="42"/>
      <c r="C174" s="9"/>
      <c r="D174" s="7"/>
      <c r="E174" s="7"/>
      <c r="F174" s="7"/>
      <c r="G174" s="7"/>
      <c r="H174" s="7"/>
      <c r="I174" s="7"/>
      <c r="J174" s="7"/>
      <c r="K174" s="7"/>
      <c r="L174" s="7"/>
    </row>
    <row r="175">
      <c r="A175" s="7"/>
      <c r="B175" s="42"/>
      <c r="C175" s="9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7"/>
      <c r="B176" s="42"/>
      <c r="C176" s="9"/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7"/>
      <c r="B177" s="42"/>
      <c r="C177" s="9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7"/>
      <c r="B178" s="42"/>
      <c r="C178" s="9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7"/>
      <c r="B179" s="42"/>
      <c r="C179" s="9"/>
      <c r="D179" s="7"/>
      <c r="E179" s="7"/>
      <c r="F179" s="7"/>
      <c r="G179" s="7"/>
      <c r="H179" s="7"/>
      <c r="I179" s="7"/>
      <c r="J179" s="7"/>
      <c r="K179" s="7"/>
      <c r="L179" s="7"/>
    </row>
    <row r="180">
      <c r="A180" s="7"/>
      <c r="B180" s="42"/>
      <c r="C180" s="9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7"/>
      <c r="B181" s="42"/>
      <c r="C181" s="9"/>
      <c r="D181" s="7"/>
      <c r="E181" s="7"/>
      <c r="F181" s="7"/>
      <c r="G181" s="7"/>
      <c r="H181" s="7"/>
      <c r="I181" s="7"/>
      <c r="J181" s="7"/>
      <c r="K181" s="7"/>
      <c r="L181" s="7"/>
    </row>
    <row r="182">
      <c r="A182" s="7"/>
      <c r="B182" s="42"/>
      <c r="C182" s="9"/>
      <c r="D182" s="7"/>
      <c r="E182" s="7"/>
      <c r="F182" s="7"/>
      <c r="G182" s="7"/>
      <c r="H182" s="7"/>
      <c r="I182" s="7"/>
      <c r="J182" s="7"/>
      <c r="K182" s="7"/>
      <c r="L182" s="7"/>
    </row>
    <row r="183">
      <c r="A183" s="7"/>
      <c r="B183" s="42"/>
      <c r="C183" s="9"/>
      <c r="D183" s="7"/>
      <c r="E183" s="7"/>
      <c r="F183" s="7"/>
      <c r="G183" s="7"/>
      <c r="H183" s="7"/>
      <c r="I183" s="7"/>
      <c r="J183" s="7"/>
      <c r="K183" s="7"/>
      <c r="L183" s="7"/>
    </row>
    <row r="184">
      <c r="A184" s="7"/>
      <c r="B184" s="42"/>
      <c r="C184" s="9"/>
      <c r="D184" s="7"/>
      <c r="E184" s="7"/>
      <c r="F184" s="7"/>
      <c r="G184" s="7"/>
      <c r="H184" s="7"/>
      <c r="I184" s="7"/>
      <c r="J184" s="7"/>
      <c r="K184" s="7"/>
      <c r="L184" s="7"/>
    </row>
    <row r="185">
      <c r="A185" s="7"/>
      <c r="B185" s="42"/>
      <c r="C185" s="9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7"/>
      <c r="B186" s="42"/>
      <c r="C186" s="9"/>
      <c r="D186" s="7"/>
      <c r="E186" s="7"/>
      <c r="F186" s="7"/>
      <c r="G186" s="7"/>
      <c r="H186" s="7"/>
      <c r="I186" s="7"/>
      <c r="J186" s="7"/>
      <c r="K186" s="7"/>
      <c r="L186" s="7"/>
    </row>
    <row r="187">
      <c r="A187" s="7"/>
      <c r="B187" s="42"/>
      <c r="C187" s="9"/>
      <c r="D187" s="7"/>
      <c r="E187" s="7"/>
      <c r="F187" s="7"/>
      <c r="G187" s="7"/>
      <c r="H187" s="7"/>
      <c r="I187" s="7"/>
      <c r="J187" s="7"/>
      <c r="K187" s="7"/>
      <c r="L187" s="7"/>
    </row>
    <row r="188">
      <c r="A188" s="7"/>
      <c r="B188" s="42"/>
      <c r="C188" s="9"/>
      <c r="D188" s="7"/>
      <c r="E188" s="7"/>
      <c r="F188" s="7"/>
      <c r="G188" s="7"/>
      <c r="H188" s="7"/>
      <c r="I188" s="7"/>
      <c r="J188" s="7"/>
      <c r="K188" s="7"/>
      <c r="L188" s="7"/>
    </row>
    <row r="189">
      <c r="A189" s="7"/>
      <c r="B189" s="42"/>
      <c r="C189" s="9"/>
      <c r="D189" s="7"/>
      <c r="E189" s="7"/>
      <c r="F189" s="7"/>
      <c r="G189" s="7"/>
      <c r="H189" s="7"/>
      <c r="I189" s="7"/>
      <c r="J189" s="7"/>
      <c r="K189" s="7"/>
      <c r="L189" s="7"/>
    </row>
    <row r="190">
      <c r="A190" s="7"/>
      <c r="B190" s="42"/>
      <c r="C190" s="9"/>
      <c r="D190" s="7"/>
      <c r="E190" s="7"/>
      <c r="F190" s="7"/>
      <c r="G190" s="7"/>
      <c r="H190" s="7"/>
      <c r="I190" s="7"/>
      <c r="J190" s="7"/>
      <c r="K190" s="7"/>
      <c r="L190" s="7"/>
    </row>
    <row r="191">
      <c r="A191" s="7"/>
      <c r="B191" s="42"/>
      <c r="C191" s="9"/>
      <c r="D191" s="7"/>
      <c r="E191" s="7"/>
      <c r="F191" s="7"/>
      <c r="G191" s="7"/>
      <c r="H191" s="7"/>
      <c r="I191" s="7"/>
      <c r="J191" s="7"/>
      <c r="K191" s="7"/>
      <c r="L191" s="7"/>
    </row>
    <row r="192">
      <c r="A192" s="7"/>
      <c r="B192" s="42"/>
      <c r="C192" s="9"/>
      <c r="D192" s="7"/>
      <c r="E192" s="7"/>
      <c r="F192" s="7"/>
      <c r="G192" s="7"/>
      <c r="H192" s="7"/>
      <c r="I192" s="7"/>
      <c r="J192" s="7"/>
      <c r="K192" s="7"/>
      <c r="L192" s="7"/>
    </row>
    <row r="193">
      <c r="A193" s="7"/>
      <c r="B193" s="42"/>
      <c r="C193" s="9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7"/>
      <c r="B194" s="42"/>
      <c r="C194" s="9"/>
      <c r="D194" s="7"/>
      <c r="E194" s="7"/>
      <c r="F194" s="7"/>
      <c r="G194" s="7"/>
      <c r="H194" s="7"/>
      <c r="I194" s="7"/>
      <c r="J194" s="7"/>
      <c r="K194" s="7"/>
      <c r="L194" s="7"/>
    </row>
    <row r="195">
      <c r="A195" s="7"/>
      <c r="B195" s="42"/>
      <c r="C195" s="9"/>
      <c r="D195" s="7"/>
      <c r="E195" s="7"/>
      <c r="F195" s="7"/>
      <c r="G195" s="7"/>
      <c r="H195" s="7"/>
      <c r="I195" s="7"/>
      <c r="J195" s="7"/>
      <c r="K195" s="7"/>
      <c r="L195" s="7"/>
    </row>
    <row r="196">
      <c r="A196" s="7"/>
      <c r="B196" s="42"/>
      <c r="C196" s="9"/>
      <c r="D196" s="7"/>
      <c r="E196" s="7"/>
      <c r="F196" s="7"/>
      <c r="G196" s="7"/>
      <c r="H196" s="7"/>
      <c r="I196" s="7"/>
      <c r="J196" s="7"/>
      <c r="K196" s="7"/>
      <c r="L196" s="7"/>
    </row>
    <row r="197">
      <c r="A197" s="7"/>
      <c r="B197" s="42"/>
      <c r="C197" s="9"/>
      <c r="D197" s="7"/>
      <c r="E197" s="7"/>
      <c r="F197" s="7"/>
      <c r="G197" s="7"/>
      <c r="H197" s="7"/>
      <c r="I197" s="7"/>
      <c r="J197" s="7"/>
      <c r="K197" s="7"/>
      <c r="L197" s="7"/>
    </row>
    <row r="198">
      <c r="A198" s="7"/>
      <c r="B198" s="42"/>
      <c r="C198" s="9"/>
      <c r="D198" s="7"/>
      <c r="E198" s="7"/>
      <c r="F198" s="7"/>
      <c r="G198" s="7"/>
      <c r="H198" s="7"/>
      <c r="I198" s="7"/>
      <c r="J198" s="7"/>
      <c r="K198" s="7"/>
      <c r="L198" s="7"/>
    </row>
    <row r="199">
      <c r="A199" s="7"/>
      <c r="B199" s="42"/>
      <c r="C199" s="9"/>
      <c r="D199" s="7"/>
      <c r="E199" s="7"/>
      <c r="F199" s="7"/>
      <c r="G199" s="7"/>
      <c r="H199" s="7"/>
      <c r="I199" s="7"/>
      <c r="J199" s="7"/>
      <c r="K199" s="7"/>
      <c r="L199" s="7"/>
    </row>
    <row r="200">
      <c r="A200" s="7"/>
      <c r="B200" s="42"/>
      <c r="C200" s="9"/>
      <c r="D200" s="7"/>
      <c r="E200" s="7"/>
      <c r="F200" s="7"/>
      <c r="G200" s="7"/>
      <c r="H200" s="7"/>
      <c r="I200" s="7"/>
      <c r="J200" s="7"/>
      <c r="K200" s="7"/>
      <c r="L200" s="7"/>
    </row>
    <row r="201">
      <c r="A201" s="7"/>
      <c r="B201" s="42"/>
      <c r="C201" s="9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7"/>
      <c r="B202" s="42"/>
      <c r="C202" s="9"/>
      <c r="D202" s="7"/>
      <c r="E202" s="7"/>
      <c r="F202" s="7"/>
      <c r="G202" s="7"/>
      <c r="H202" s="7"/>
      <c r="I202" s="7"/>
      <c r="J202" s="7"/>
      <c r="K202" s="7"/>
      <c r="L202" s="7"/>
    </row>
    <row r="203">
      <c r="A203" s="7"/>
      <c r="B203" s="42"/>
      <c r="C203" s="9"/>
      <c r="D203" s="7"/>
      <c r="E203" s="7"/>
      <c r="F203" s="7"/>
      <c r="G203" s="7"/>
      <c r="H203" s="7"/>
      <c r="I203" s="7"/>
      <c r="J203" s="7"/>
      <c r="K203" s="7"/>
      <c r="L203" s="7"/>
    </row>
    <row r="204">
      <c r="A204" s="7"/>
      <c r="B204" s="42"/>
      <c r="C204" s="9"/>
      <c r="D204" s="7"/>
      <c r="E204" s="7"/>
      <c r="F204" s="7"/>
      <c r="G204" s="7"/>
      <c r="H204" s="7"/>
      <c r="I204" s="7"/>
      <c r="J204" s="7"/>
      <c r="K204" s="7"/>
      <c r="L204" s="7"/>
    </row>
    <row r="205">
      <c r="A205" s="7"/>
      <c r="B205" s="42"/>
      <c r="C205" s="9"/>
      <c r="D205" s="7"/>
      <c r="E205" s="7"/>
      <c r="F205" s="7"/>
      <c r="G205" s="7"/>
      <c r="H205" s="7"/>
      <c r="I205" s="7"/>
      <c r="J205" s="7"/>
      <c r="K205" s="7"/>
      <c r="L205" s="7"/>
    </row>
    <row r="206">
      <c r="A206" s="7"/>
      <c r="B206" s="42"/>
      <c r="C206" s="9"/>
      <c r="D206" s="7"/>
      <c r="E206" s="7"/>
      <c r="F206" s="7"/>
      <c r="G206" s="7"/>
      <c r="H206" s="7"/>
      <c r="I206" s="7"/>
      <c r="J206" s="7"/>
      <c r="K206" s="7"/>
      <c r="L206" s="7"/>
    </row>
    <row r="207">
      <c r="A207" s="7"/>
      <c r="B207" s="42"/>
      <c r="C207" s="9"/>
      <c r="D207" s="7"/>
      <c r="E207" s="7"/>
      <c r="F207" s="7"/>
      <c r="G207" s="7"/>
      <c r="H207" s="7"/>
      <c r="I207" s="7"/>
      <c r="J207" s="7"/>
      <c r="K207" s="7"/>
      <c r="L207" s="7"/>
    </row>
    <row r="208">
      <c r="A208" s="7"/>
      <c r="B208" s="42"/>
      <c r="C208" s="9"/>
      <c r="D208" s="7"/>
      <c r="E208" s="7"/>
      <c r="F208" s="7"/>
      <c r="G208" s="7"/>
      <c r="H208" s="7"/>
      <c r="I208" s="7"/>
      <c r="J208" s="7"/>
      <c r="K208" s="7"/>
      <c r="L208" s="7"/>
    </row>
    <row r="209">
      <c r="A209" s="7"/>
      <c r="B209" s="42"/>
      <c r="C209" s="9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7"/>
      <c r="B210" s="42"/>
      <c r="C210" s="9"/>
      <c r="D210" s="7"/>
      <c r="E210" s="7"/>
      <c r="F210" s="7"/>
      <c r="G210" s="7"/>
      <c r="H210" s="7"/>
      <c r="I210" s="7"/>
      <c r="J210" s="7"/>
      <c r="K210" s="7"/>
      <c r="L210" s="7"/>
    </row>
    <row r="211">
      <c r="A211" s="7"/>
      <c r="B211" s="42"/>
      <c r="C211" s="9"/>
      <c r="D211" s="7"/>
      <c r="E211" s="7"/>
      <c r="F211" s="7"/>
      <c r="G211" s="7"/>
      <c r="H211" s="7"/>
      <c r="I211" s="7"/>
      <c r="J211" s="7"/>
      <c r="K211" s="7"/>
      <c r="L211" s="7"/>
    </row>
    <row r="212">
      <c r="A212" s="7"/>
      <c r="B212" s="42"/>
      <c r="C212" s="9"/>
      <c r="D212" s="7"/>
      <c r="E212" s="7"/>
      <c r="F212" s="7"/>
      <c r="G212" s="7"/>
      <c r="H212" s="7"/>
      <c r="I212" s="7"/>
      <c r="J212" s="7"/>
      <c r="K212" s="7"/>
      <c r="L212" s="7"/>
    </row>
    <row r="213">
      <c r="A213" s="7"/>
      <c r="B213" s="42"/>
      <c r="C213" s="9"/>
      <c r="D213" s="7"/>
      <c r="E213" s="7"/>
      <c r="F213" s="7"/>
      <c r="G213" s="7"/>
      <c r="H213" s="7"/>
      <c r="I213" s="7"/>
      <c r="J213" s="7"/>
      <c r="K213" s="7"/>
      <c r="L213" s="7"/>
    </row>
    <row r="214">
      <c r="A214" s="7"/>
      <c r="B214" s="42"/>
      <c r="C214" s="9"/>
      <c r="D214" s="7"/>
      <c r="E214" s="7"/>
      <c r="F214" s="7"/>
      <c r="G214" s="7"/>
      <c r="H214" s="7"/>
      <c r="I214" s="7"/>
      <c r="J214" s="7"/>
      <c r="K214" s="7"/>
      <c r="L214" s="7"/>
    </row>
    <row r="215">
      <c r="A215" s="7"/>
      <c r="B215" s="42"/>
      <c r="C215" s="9"/>
      <c r="D215" s="7"/>
      <c r="E215" s="7"/>
      <c r="F215" s="7"/>
      <c r="G215" s="7"/>
      <c r="H215" s="7"/>
      <c r="I215" s="7"/>
      <c r="J215" s="7"/>
      <c r="K215" s="7"/>
      <c r="L215" s="7"/>
    </row>
    <row r="216">
      <c r="A216" s="7"/>
      <c r="B216" s="42"/>
      <c r="C216" s="9"/>
      <c r="D216" s="7"/>
      <c r="E216" s="7"/>
      <c r="F216" s="7"/>
      <c r="G216" s="7"/>
      <c r="H216" s="7"/>
      <c r="I216" s="7"/>
      <c r="J216" s="7"/>
      <c r="K216" s="7"/>
      <c r="L216" s="7"/>
    </row>
    <row r="217">
      <c r="A217" s="7"/>
      <c r="B217" s="42"/>
      <c r="C217" s="9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7"/>
      <c r="B218" s="42"/>
      <c r="C218" s="9"/>
      <c r="D218" s="7"/>
      <c r="E218" s="7"/>
      <c r="F218" s="7"/>
      <c r="G218" s="7"/>
      <c r="H218" s="7"/>
      <c r="I218" s="7"/>
      <c r="J218" s="7"/>
      <c r="K218" s="7"/>
      <c r="L218" s="7"/>
    </row>
    <row r="219">
      <c r="A219" s="7"/>
      <c r="B219" s="42"/>
      <c r="C219" s="9"/>
      <c r="D219" s="7"/>
      <c r="E219" s="7"/>
      <c r="F219" s="7"/>
      <c r="G219" s="7"/>
      <c r="H219" s="7"/>
      <c r="I219" s="7"/>
      <c r="J219" s="7"/>
      <c r="K219" s="7"/>
      <c r="L219" s="7"/>
    </row>
    <row r="220">
      <c r="A220" s="7"/>
      <c r="B220" s="42"/>
      <c r="C220" s="9"/>
      <c r="D220" s="7"/>
      <c r="E220" s="7"/>
      <c r="F220" s="7"/>
      <c r="G220" s="7"/>
      <c r="H220" s="7"/>
      <c r="I220" s="7"/>
      <c r="J220" s="7"/>
      <c r="K220" s="7"/>
      <c r="L220" s="7"/>
    </row>
    <row r="221">
      <c r="A221" s="7"/>
      <c r="B221" s="42"/>
      <c r="C221" s="9"/>
      <c r="D221" s="7"/>
      <c r="E221" s="7"/>
      <c r="F221" s="7"/>
      <c r="G221" s="7"/>
      <c r="H221" s="7"/>
      <c r="I221" s="7"/>
      <c r="J221" s="7"/>
      <c r="K221" s="7"/>
      <c r="L221" s="7"/>
    </row>
    <row r="222">
      <c r="A222" s="7"/>
      <c r="B222" s="42"/>
      <c r="C222" s="9"/>
      <c r="D222" s="7"/>
      <c r="E222" s="7"/>
      <c r="F222" s="7"/>
      <c r="G222" s="7"/>
      <c r="H222" s="7"/>
      <c r="I222" s="7"/>
      <c r="J222" s="7"/>
      <c r="K222" s="7"/>
      <c r="L222" s="7"/>
    </row>
    <row r="223">
      <c r="A223" s="7"/>
      <c r="B223" s="42"/>
      <c r="C223" s="9"/>
      <c r="D223" s="7"/>
      <c r="E223" s="7"/>
      <c r="F223" s="7"/>
      <c r="G223" s="7"/>
      <c r="H223" s="7"/>
      <c r="I223" s="7"/>
      <c r="J223" s="7"/>
      <c r="K223" s="7"/>
      <c r="L223" s="7"/>
    </row>
    <row r="224">
      <c r="A224" s="7"/>
      <c r="B224" s="42"/>
      <c r="C224" s="9"/>
      <c r="D224" s="7"/>
      <c r="E224" s="7"/>
      <c r="F224" s="7"/>
      <c r="G224" s="7"/>
      <c r="H224" s="7"/>
      <c r="I224" s="7"/>
      <c r="J224" s="7"/>
      <c r="K224" s="7"/>
      <c r="L224" s="7"/>
    </row>
    <row r="225">
      <c r="A225" s="7"/>
      <c r="B225" s="42"/>
      <c r="C225" s="9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7"/>
      <c r="B226" s="42"/>
      <c r="C226" s="9"/>
      <c r="D226" s="7"/>
      <c r="E226" s="7"/>
      <c r="F226" s="7"/>
      <c r="G226" s="7"/>
      <c r="H226" s="7"/>
      <c r="I226" s="7"/>
      <c r="J226" s="7"/>
      <c r="K226" s="7"/>
      <c r="L226" s="7"/>
    </row>
    <row r="227">
      <c r="A227" s="7"/>
      <c r="B227" s="42"/>
      <c r="C227" s="9"/>
      <c r="D227" s="7"/>
      <c r="E227" s="7"/>
      <c r="F227" s="7"/>
      <c r="G227" s="7"/>
      <c r="H227" s="7"/>
      <c r="I227" s="7"/>
      <c r="J227" s="7"/>
      <c r="K227" s="7"/>
      <c r="L227" s="7"/>
    </row>
    <row r="228">
      <c r="A228" s="7"/>
      <c r="B228" s="42"/>
      <c r="C228" s="9"/>
      <c r="D228" s="7"/>
      <c r="E228" s="7"/>
      <c r="F228" s="7"/>
      <c r="G228" s="7"/>
      <c r="H228" s="7"/>
      <c r="I228" s="7"/>
      <c r="J228" s="7"/>
      <c r="K228" s="7"/>
      <c r="L228" s="7"/>
    </row>
    <row r="229">
      <c r="A229" s="7"/>
      <c r="B229" s="42"/>
      <c r="C229" s="9"/>
      <c r="D229" s="7"/>
      <c r="E229" s="7"/>
      <c r="F229" s="7"/>
      <c r="G229" s="7"/>
      <c r="H229" s="7"/>
      <c r="I229" s="7"/>
      <c r="J229" s="7"/>
      <c r="K229" s="7"/>
      <c r="L229" s="7"/>
    </row>
    <row r="230">
      <c r="A230" s="7"/>
      <c r="B230" s="42"/>
      <c r="C230" s="9"/>
      <c r="D230" s="7"/>
      <c r="E230" s="7"/>
      <c r="F230" s="7"/>
      <c r="G230" s="7"/>
      <c r="H230" s="7"/>
      <c r="I230" s="7"/>
      <c r="J230" s="7"/>
      <c r="K230" s="7"/>
      <c r="L230" s="7"/>
    </row>
    <row r="231">
      <c r="A231" s="7"/>
      <c r="B231" s="42"/>
      <c r="C231" s="9"/>
      <c r="D231" s="7"/>
      <c r="E231" s="7"/>
      <c r="F231" s="7"/>
      <c r="G231" s="7"/>
      <c r="H231" s="7"/>
      <c r="I231" s="7"/>
      <c r="J231" s="7"/>
      <c r="K231" s="7"/>
      <c r="L231" s="7"/>
    </row>
    <row r="232">
      <c r="A232" s="7"/>
      <c r="B232" s="42"/>
      <c r="C232" s="9"/>
      <c r="D232" s="7"/>
      <c r="E232" s="7"/>
      <c r="F232" s="7"/>
      <c r="G232" s="7"/>
      <c r="H232" s="7"/>
      <c r="I232" s="7"/>
      <c r="J232" s="7"/>
      <c r="K232" s="7"/>
      <c r="L232" s="7"/>
    </row>
    <row r="233">
      <c r="A233" s="7"/>
      <c r="B233" s="42"/>
      <c r="C233" s="9"/>
      <c r="D233" s="7"/>
      <c r="E233" s="7"/>
      <c r="F233" s="7"/>
      <c r="G233" s="7"/>
      <c r="H233" s="7"/>
      <c r="I233" s="7"/>
      <c r="J233" s="7"/>
      <c r="K233" s="7"/>
      <c r="L233" s="7"/>
    </row>
    <row r="234">
      <c r="A234" s="7"/>
      <c r="B234" s="42"/>
      <c r="C234" s="9"/>
      <c r="D234" s="7"/>
      <c r="E234" s="7"/>
      <c r="F234" s="7"/>
      <c r="G234" s="7"/>
      <c r="H234" s="7"/>
      <c r="I234" s="7"/>
      <c r="J234" s="7"/>
      <c r="K234" s="7"/>
      <c r="L234" s="7"/>
    </row>
    <row r="235">
      <c r="A235" s="7"/>
      <c r="B235" s="42"/>
      <c r="C235" s="9"/>
      <c r="D235" s="7"/>
      <c r="E235" s="7"/>
      <c r="F235" s="7"/>
      <c r="G235" s="7"/>
      <c r="H235" s="7"/>
      <c r="I235" s="7"/>
      <c r="J235" s="7"/>
      <c r="K235" s="7"/>
      <c r="L235" s="7"/>
    </row>
    <row r="236">
      <c r="A236" s="7"/>
      <c r="B236" s="42"/>
      <c r="C236" s="9"/>
      <c r="D236" s="7"/>
      <c r="E236" s="7"/>
      <c r="F236" s="7"/>
      <c r="G236" s="7"/>
      <c r="H236" s="7"/>
      <c r="I236" s="7"/>
      <c r="J236" s="7"/>
      <c r="K236" s="7"/>
      <c r="L236" s="7"/>
    </row>
    <row r="237">
      <c r="A237" s="7"/>
      <c r="B237" s="42"/>
      <c r="C237" s="9"/>
      <c r="D237" s="7"/>
      <c r="E237" s="7"/>
      <c r="F237" s="7"/>
      <c r="G237" s="7"/>
      <c r="H237" s="7"/>
      <c r="I237" s="7"/>
      <c r="J237" s="7"/>
      <c r="K237" s="7"/>
      <c r="L237" s="7"/>
    </row>
    <row r="238">
      <c r="A238" s="7"/>
      <c r="B238" s="42"/>
      <c r="C238" s="9"/>
      <c r="D238" s="7"/>
      <c r="E238" s="7"/>
      <c r="F238" s="7"/>
      <c r="G238" s="7"/>
      <c r="H238" s="7"/>
      <c r="I238" s="7"/>
      <c r="J238" s="7"/>
      <c r="K238" s="7"/>
      <c r="L238" s="7"/>
    </row>
    <row r="239">
      <c r="A239" s="7"/>
      <c r="B239" s="42"/>
      <c r="C239" s="9"/>
      <c r="D239" s="7"/>
      <c r="E239" s="7"/>
      <c r="F239" s="7"/>
      <c r="G239" s="7"/>
      <c r="H239" s="7"/>
      <c r="I239" s="7"/>
      <c r="J239" s="7"/>
      <c r="K239" s="7"/>
      <c r="L239" s="7"/>
    </row>
    <row r="240">
      <c r="A240" s="7"/>
      <c r="B240" s="42"/>
      <c r="C240" s="9"/>
      <c r="D240" s="7"/>
      <c r="E240" s="7"/>
      <c r="F240" s="7"/>
      <c r="G240" s="7"/>
      <c r="H240" s="7"/>
      <c r="I240" s="7"/>
      <c r="J240" s="7"/>
      <c r="K240" s="7"/>
      <c r="L240" s="7"/>
    </row>
    <row r="241">
      <c r="A241" s="7"/>
      <c r="B241" s="42"/>
      <c r="C241" s="9"/>
      <c r="D241" s="7"/>
      <c r="E241" s="7"/>
      <c r="F241" s="7"/>
      <c r="G241" s="7"/>
      <c r="H241" s="7"/>
      <c r="I241" s="7"/>
      <c r="J241" s="7"/>
      <c r="K241" s="7"/>
      <c r="L241" s="7"/>
    </row>
    <row r="242">
      <c r="A242" s="7"/>
      <c r="B242" s="42"/>
      <c r="C242" s="9"/>
      <c r="D242" s="7"/>
      <c r="E242" s="7"/>
      <c r="F242" s="7"/>
      <c r="G242" s="7"/>
      <c r="H242" s="7"/>
      <c r="I242" s="7"/>
      <c r="J242" s="7"/>
      <c r="K242" s="7"/>
      <c r="L242" s="7"/>
    </row>
    <row r="243">
      <c r="A243" s="7"/>
      <c r="B243" s="42"/>
      <c r="C243" s="9"/>
      <c r="D243" s="7"/>
      <c r="E243" s="7"/>
      <c r="F243" s="7"/>
      <c r="G243" s="7"/>
      <c r="H243" s="7"/>
      <c r="I243" s="7"/>
      <c r="J243" s="7"/>
      <c r="K243" s="7"/>
      <c r="L243" s="7"/>
    </row>
    <row r="244">
      <c r="A244" s="7"/>
      <c r="B244" s="42"/>
      <c r="C244" s="9"/>
      <c r="D244" s="7"/>
      <c r="E244" s="7"/>
      <c r="F244" s="7"/>
      <c r="G244" s="7"/>
      <c r="H244" s="7"/>
      <c r="I244" s="7"/>
      <c r="J244" s="7"/>
      <c r="K244" s="7"/>
      <c r="L244" s="7"/>
    </row>
    <row r="245">
      <c r="A245" s="7"/>
      <c r="B245" s="42"/>
      <c r="C245" s="9"/>
      <c r="D245" s="7"/>
      <c r="E245" s="7"/>
      <c r="F245" s="7"/>
      <c r="G245" s="7"/>
      <c r="H245" s="7"/>
      <c r="I245" s="7"/>
      <c r="J245" s="7"/>
      <c r="K245" s="7"/>
      <c r="L245" s="7"/>
    </row>
    <row r="246">
      <c r="A246" s="7"/>
      <c r="B246" s="42"/>
      <c r="C246" s="9"/>
      <c r="D246" s="7"/>
      <c r="E246" s="7"/>
      <c r="F246" s="7"/>
      <c r="G246" s="7"/>
      <c r="H246" s="7"/>
      <c r="I246" s="7"/>
      <c r="J246" s="7"/>
      <c r="K246" s="7"/>
      <c r="L246" s="7"/>
    </row>
    <row r="247">
      <c r="A247" s="7"/>
      <c r="B247" s="42"/>
      <c r="C247" s="9"/>
      <c r="D247" s="7"/>
      <c r="E247" s="7"/>
      <c r="F247" s="7"/>
      <c r="G247" s="7"/>
      <c r="H247" s="7"/>
      <c r="I247" s="7"/>
      <c r="J247" s="7"/>
      <c r="K247" s="7"/>
      <c r="L247" s="7"/>
    </row>
    <row r="248">
      <c r="A248" s="7"/>
      <c r="B248" s="42"/>
      <c r="C248" s="9"/>
      <c r="D248" s="7"/>
      <c r="E248" s="7"/>
      <c r="F248" s="7"/>
      <c r="G248" s="7"/>
      <c r="H248" s="7"/>
      <c r="I248" s="7"/>
      <c r="J248" s="7"/>
      <c r="K248" s="7"/>
      <c r="L248" s="7"/>
    </row>
    <row r="249">
      <c r="A249" s="7"/>
      <c r="B249" s="42"/>
      <c r="C249" s="9"/>
      <c r="D249" s="7"/>
      <c r="E249" s="7"/>
      <c r="F249" s="7"/>
      <c r="G249" s="7"/>
      <c r="H249" s="7"/>
      <c r="I249" s="7"/>
      <c r="J249" s="7"/>
      <c r="K249" s="7"/>
      <c r="L249" s="7"/>
    </row>
    <row r="250">
      <c r="A250" s="7"/>
      <c r="B250" s="42"/>
      <c r="C250" s="9"/>
      <c r="D250" s="7"/>
      <c r="E250" s="7"/>
      <c r="F250" s="7"/>
      <c r="G250" s="7"/>
      <c r="H250" s="7"/>
      <c r="I250" s="7"/>
      <c r="J250" s="7"/>
      <c r="K250" s="7"/>
      <c r="L250" s="7"/>
    </row>
    <row r="251">
      <c r="A251" s="7"/>
      <c r="B251" s="42"/>
      <c r="C251" s="9"/>
      <c r="D251" s="7"/>
      <c r="E251" s="7"/>
      <c r="F251" s="7"/>
      <c r="G251" s="7"/>
      <c r="H251" s="7"/>
      <c r="I251" s="7"/>
      <c r="J251" s="7"/>
      <c r="K251" s="7"/>
      <c r="L251" s="7"/>
    </row>
    <row r="252">
      <c r="A252" s="7"/>
      <c r="B252" s="42"/>
      <c r="C252" s="9"/>
      <c r="D252" s="7"/>
      <c r="E252" s="7"/>
      <c r="F252" s="7"/>
      <c r="G252" s="7"/>
      <c r="H252" s="7"/>
      <c r="I252" s="7"/>
      <c r="J252" s="7"/>
      <c r="K252" s="7"/>
      <c r="L252" s="7"/>
    </row>
    <row r="253">
      <c r="A253" s="7"/>
      <c r="B253" s="42"/>
      <c r="C253" s="9"/>
      <c r="D253" s="7"/>
      <c r="E253" s="7"/>
      <c r="F253" s="7"/>
      <c r="G253" s="7"/>
      <c r="H253" s="7"/>
      <c r="I253" s="7"/>
      <c r="J253" s="7"/>
      <c r="K253" s="7"/>
      <c r="L253" s="7"/>
    </row>
    <row r="254">
      <c r="A254" s="7"/>
      <c r="B254" s="42"/>
      <c r="C254" s="9"/>
      <c r="D254" s="7"/>
      <c r="E254" s="7"/>
      <c r="F254" s="7"/>
      <c r="G254" s="7"/>
      <c r="H254" s="7"/>
      <c r="I254" s="7"/>
      <c r="J254" s="7"/>
      <c r="K254" s="7"/>
      <c r="L254" s="7"/>
    </row>
    <row r="255">
      <c r="A255" s="7"/>
      <c r="B255" s="42"/>
      <c r="C255" s="9"/>
      <c r="D255" s="7"/>
      <c r="E255" s="7"/>
      <c r="F255" s="7"/>
      <c r="G255" s="7"/>
      <c r="H255" s="7"/>
      <c r="I255" s="7"/>
      <c r="J255" s="7"/>
      <c r="K255" s="7"/>
      <c r="L255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17.38"/>
    <col customWidth="1" min="3" max="3" width="32.38"/>
    <col customWidth="1" min="4" max="4" width="42.88"/>
    <col customWidth="1" min="5" max="5" width="31.63"/>
    <col customWidth="1" min="6" max="8" width="22.63"/>
    <col customWidth="1" min="9" max="10" width="19.75"/>
    <col customWidth="1" min="11" max="11" width="3.5"/>
  </cols>
  <sheetData>
    <row r="1">
      <c r="A1" s="7"/>
      <c r="B1" s="7"/>
      <c r="C1" s="8"/>
      <c r="D1" s="7"/>
      <c r="E1" s="7"/>
      <c r="F1" s="7"/>
      <c r="G1" s="7"/>
      <c r="H1" s="7"/>
      <c r="I1" s="7"/>
      <c r="J1" s="7"/>
      <c r="K1" s="7"/>
    </row>
    <row r="2">
      <c r="A2" s="7"/>
      <c r="B2" s="7"/>
      <c r="C2" s="24" t="s">
        <v>93</v>
      </c>
      <c r="D2" s="24">
        <f>COUNTA(C5:C253)</f>
        <v>52</v>
      </c>
      <c r="E2" s="7"/>
      <c r="F2" s="7"/>
      <c r="G2" s="7"/>
      <c r="H2" s="7"/>
      <c r="I2" s="7"/>
      <c r="J2" s="7"/>
      <c r="K2" s="7"/>
    </row>
    <row r="3">
      <c r="A3" s="7"/>
      <c r="B3" s="7"/>
      <c r="C3" s="8"/>
      <c r="D3" s="7"/>
      <c r="E3" s="7"/>
      <c r="F3" s="7"/>
      <c r="G3" s="7"/>
      <c r="H3" s="7"/>
      <c r="I3" s="7"/>
      <c r="J3" s="7"/>
      <c r="K3" s="7"/>
    </row>
    <row r="4">
      <c r="A4" s="7"/>
      <c r="B4" s="25" t="s">
        <v>101</v>
      </c>
      <c r="C4" s="25" t="s">
        <v>103</v>
      </c>
      <c r="D4" s="27" t="s">
        <v>105</v>
      </c>
      <c r="E4" s="27" t="s">
        <v>107</v>
      </c>
      <c r="F4" s="28" t="s">
        <v>108</v>
      </c>
      <c r="G4" s="29" t="s">
        <v>109</v>
      </c>
      <c r="H4" s="25" t="s">
        <v>111</v>
      </c>
      <c r="I4" s="25" t="s">
        <v>112</v>
      </c>
      <c r="J4" s="25" t="s">
        <v>113</v>
      </c>
      <c r="K4" s="7"/>
    </row>
    <row r="5">
      <c r="A5" s="7"/>
      <c r="B5" s="31">
        <f>1</f>
        <v>1</v>
      </c>
      <c r="C5" s="33" t="s">
        <v>116</v>
      </c>
      <c r="D5" s="32" t="s">
        <v>117</v>
      </c>
      <c r="E5" s="32" t="s">
        <v>118</v>
      </c>
      <c r="F5" s="35" t="s">
        <v>119</v>
      </c>
      <c r="G5" s="35"/>
      <c r="H5" s="33" t="s">
        <v>120</v>
      </c>
      <c r="I5" s="15"/>
      <c r="J5" s="15"/>
      <c r="K5" s="7"/>
    </row>
    <row r="6">
      <c r="A6" s="7"/>
      <c r="B6" s="31">
        <f t="shared" ref="B6:B56" si="1">B5+1</f>
        <v>2</v>
      </c>
      <c r="C6" s="33" t="s">
        <v>124</v>
      </c>
      <c r="D6" s="32" t="s">
        <v>125</v>
      </c>
      <c r="E6" s="32" t="s">
        <v>126</v>
      </c>
      <c r="F6" s="35" t="s">
        <v>127</v>
      </c>
      <c r="G6" s="35"/>
      <c r="H6" s="33" t="s">
        <v>120</v>
      </c>
      <c r="I6" s="15"/>
      <c r="J6" s="15"/>
      <c r="K6" s="7"/>
    </row>
    <row r="7">
      <c r="A7" s="7"/>
      <c r="B7" s="31">
        <f t="shared" si="1"/>
        <v>3</v>
      </c>
      <c r="C7" s="33" t="s">
        <v>132</v>
      </c>
      <c r="D7" s="32" t="s">
        <v>133</v>
      </c>
      <c r="E7" s="32" t="s">
        <v>134</v>
      </c>
      <c r="F7" s="35" t="s">
        <v>135</v>
      </c>
      <c r="G7" s="35"/>
      <c r="H7" s="33" t="s">
        <v>120</v>
      </c>
      <c r="I7" s="15"/>
      <c r="J7" s="15"/>
      <c r="K7" s="7"/>
    </row>
    <row r="8">
      <c r="A8" s="7"/>
      <c r="B8" s="31">
        <f t="shared" si="1"/>
        <v>4</v>
      </c>
      <c r="C8" s="33" t="s">
        <v>138</v>
      </c>
      <c r="D8" s="32" t="s">
        <v>139</v>
      </c>
      <c r="E8" s="32">
        <v>8.9165371686E10</v>
      </c>
      <c r="F8" s="35"/>
      <c r="G8" s="35"/>
      <c r="H8" s="33" t="s">
        <v>120</v>
      </c>
      <c r="I8" s="15"/>
      <c r="J8" s="15"/>
      <c r="K8" s="7"/>
    </row>
    <row r="9">
      <c r="A9" s="7"/>
      <c r="B9" s="31">
        <f t="shared" si="1"/>
        <v>5</v>
      </c>
      <c r="C9" s="33" t="s">
        <v>142</v>
      </c>
      <c r="D9" s="32" t="s">
        <v>143</v>
      </c>
      <c r="E9" s="32">
        <v>8.9773636526E10</v>
      </c>
      <c r="F9" s="35" t="s">
        <v>144</v>
      </c>
      <c r="G9" s="35"/>
      <c r="H9" s="33" t="s">
        <v>120</v>
      </c>
      <c r="I9" s="15"/>
      <c r="J9" s="15"/>
      <c r="K9" s="7"/>
    </row>
    <row r="10">
      <c r="A10" s="7"/>
      <c r="B10" s="31">
        <f t="shared" si="1"/>
        <v>6</v>
      </c>
      <c r="C10" s="33" t="s">
        <v>147</v>
      </c>
      <c r="D10" s="32" t="s">
        <v>148</v>
      </c>
      <c r="E10" s="32" t="s">
        <v>149</v>
      </c>
      <c r="F10" s="35" t="s">
        <v>150</v>
      </c>
      <c r="G10" s="35"/>
      <c r="H10" s="33" t="s">
        <v>120</v>
      </c>
      <c r="I10" s="15"/>
      <c r="J10" s="15"/>
      <c r="K10" s="7"/>
    </row>
    <row r="11">
      <c r="A11" s="7"/>
      <c r="B11" s="31">
        <f t="shared" si="1"/>
        <v>7</v>
      </c>
      <c r="C11" s="33" t="s">
        <v>152</v>
      </c>
      <c r="D11" s="32" t="s">
        <v>154</v>
      </c>
      <c r="E11" s="32" t="s">
        <v>155</v>
      </c>
      <c r="F11" s="35" t="s">
        <v>156</v>
      </c>
      <c r="G11" s="35"/>
      <c r="H11" s="33" t="s">
        <v>120</v>
      </c>
      <c r="I11" s="15"/>
      <c r="J11" s="15"/>
      <c r="K11" s="7"/>
    </row>
    <row r="12">
      <c r="A12" s="7"/>
      <c r="B12" s="31">
        <f t="shared" si="1"/>
        <v>8</v>
      </c>
      <c r="C12" s="33" t="s">
        <v>157</v>
      </c>
      <c r="D12" s="32" t="s">
        <v>143</v>
      </c>
      <c r="E12" s="32">
        <v>8.9030011409E10</v>
      </c>
      <c r="F12" s="35" t="s">
        <v>159</v>
      </c>
      <c r="G12" s="35"/>
      <c r="H12" s="33" t="s">
        <v>120</v>
      </c>
      <c r="I12" s="15"/>
      <c r="J12" s="15"/>
      <c r="K12" s="7"/>
    </row>
    <row r="13">
      <c r="A13" s="7"/>
      <c r="B13" s="31">
        <f t="shared" si="1"/>
        <v>9</v>
      </c>
      <c r="C13" s="33" t="s">
        <v>162</v>
      </c>
      <c r="D13" s="32" t="s">
        <v>163</v>
      </c>
      <c r="E13" s="32">
        <v>8.9035877389E10</v>
      </c>
      <c r="F13" s="35" t="s">
        <v>164</v>
      </c>
      <c r="G13" s="35"/>
      <c r="H13" s="33" t="s">
        <v>120</v>
      </c>
      <c r="I13" s="15"/>
      <c r="J13" s="15"/>
      <c r="K13" s="7"/>
    </row>
    <row r="14">
      <c r="A14" s="7"/>
      <c r="B14" s="31">
        <f t="shared" si="1"/>
        <v>10</v>
      </c>
      <c r="C14" s="33" t="s">
        <v>165</v>
      </c>
      <c r="D14" s="32" t="s">
        <v>143</v>
      </c>
      <c r="E14" s="32" t="s">
        <v>164</v>
      </c>
      <c r="F14" s="35" t="s">
        <v>164</v>
      </c>
      <c r="G14" s="35"/>
      <c r="H14" s="33" t="s">
        <v>120</v>
      </c>
      <c r="I14" s="15"/>
      <c r="J14" s="15"/>
      <c r="K14" s="7"/>
    </row>
    <row r="15">
      <c r="A15" s="7"/>
      <c r="B15" s="31">
        <f t="shared" si="1"/>
        <v>11</v>
      </c>
      <c r="C15" s="33" t="s">
        <v>168</v>
      </c>
      <c r="D15" s="32" t="s">
        <v>169</v>
      </c>
      <c r="E15" s="32" t="s">
        <v>170</v>
      </c>
      <c r="F15" s="38" t="s">
        <v>171</v>
      </c>
      <c r="G15" s="38"/>
      <c r="H15" s="33" t="s">
        <v>174</v>
      </c>
      <c r="I15" s="9"/>
      <c r="J15" s="9"/>
      <c r="K15" s="7"/>
    </row>
    <row r="16">
      <c r="A16" s="7"/>
      <c r="B16" s="31">
        <f t="shared" si="1"/>
        <v>12</v>
      </c>
      <c r="C16" s="33" t="s">
        <v>175</v>
      </c>
      <c r="D16" s="32" t="s">
        <v>176</v>
      </c>
      <c r="E16" s="32" t="s">
        <v>177</v>
      </c>
      <c r="F16" s="38" t="s">
        <v>164</v>
      </c>
      <c r="G16" s="38"/>
      <c r="H16" s="33" t="s">
        <v>174</v>
      </c>
      <c r="I16" s="9"/>
      <c r="J16" s="9"/>
      <c r="K16" s="7"/>
    </row>
    <row r="17">
      <c r="A17" s="7"/>
      <c r="B17" s="31">
        <f t="shared" si="1"/>
        <v>13</v>
      </c>
      <c r="C17" s="33" t="s">
        <v>180</v>
      </c>
      <c r="D17" s="32" t="s">
        <v>181</v>
      </c>
      <c r="E17" s="32" t="s">
        <v>182</v>
      </c>
      <c r="F17" s="38" t="s">
        <v>164</v>
      </c>
      <c r="G17" s="38"/>
      <c r="H17" s="33" t="s">
        <v>174</v>
      </c>
      <c r="I17" s="9"/>
      <c r="J17" s="9"/>
      <c r="K17" s="7"/>
    </row>
    <row r="18">
      <c r="A18" s="7"/>
      <c r="B18" s="31">
        <f t="shared" si="1"/>
        <v>14</v>
      </c>
      <c r="C18" s="33" t="s">
        <v>183</v>
      </c>
      <c r="D18" s="32" t="s">
        <v>184</v>
      </c>
      <c r="E18" s="32" t="s">
        <v>185</v>
      </c>
      <c r="F18" s="38" t="s">
        <v>164</v>
      </c>
      <c r="G18" s="38"/>
      <c r="H18" s="33" t="s">
        <v>174</v>
      </c>
      <c r="I18" s="9"/>
      <c r="J18" s="9"/>
      <c r="K18" s="7"/>
    </row>
    <row r="19">
      <c r="A19" s="7"/>
      <c r="B19" s="31">
        <f t="shared" si="1"/>
        <v>15</v>
      </c>
      <c r="C19" s="33" t="s">
        <v>188</v>
      </c>
      <c r="D19" s="32" t="s">
        <v>189</v>
      </c>
      <c r="E19" s="32">
        <v>8.9693410194E10</v>
      </c>
      <c r="F19" s="38" t="s">
        <v>190</v>
      </c>
      <c r="G19" s="38"/>
      <c r="H19" s="33" t="s">
        <v>174</v>
      </c>
      <c r="I19" s="42"/>
      <c r="J19" s="42"/>
      <c r="K19" s="7"/>
    </row>
    <row r="20">
      <c r="A20" s="7"/>
      <c r="B20" s="31">
        <f t="shared" si="1"/>
        <v>16</v>
      </c>
      <c r="C20" s="33" t="s">
        <v>193</v>
      </c>
      <c r="D20" s="32" t="s">
        <v>189</v>
      </c>
      <c r="E20" s="32" t="s">
        <v>194</v>
      </c>
      <c r="F20" s="38" t="s">
        <v>164</v>
      </c>
      <c r="G20" s="38"/>
      <c r="H20" s="33" t="s">
        <v>174</v>
      </c>
      <c r="I20" s="9"/>
      <c r="J20" s="9"/>
      <c r="K20" s="7"/>
    </row>
    <row r="21">
      <c r="A21" s="7"/>
      <c r="B21" s="31">
        <f t="shared" si="1"/>
        <v>17</v>
      </c>
      <c r="C21" s="33" t="s">
        <v>195</v>
      </c>
      <c r="D21" s="32" t="s">
        <v>196</v>
      </c>
      <c r="E21" s="32"/>
      <c r="F21" s="38"/>
      <c r="G21" s="38"/>
      <c r="H21" s="33" t="s">
        <v>197</v>
      </c>
      <c r="I21" s="9"/>
      <c r="J21" s="9"/>
      <c r="K21" s="7"/>
    </row>
    <row r="22">
      <c r="A22" s="7"/>
      <c r="B22" s="31">
        <f t="shared" si="1"/>
        <v>18</v>
      </c>
      <c r="C22" s="33" t="s">
        <v>200</v>
      </c>
      <c r="D22" s="32" t="s">
        <v>196</v>
      </c>
      <c r="E22" s="32"/>
      <c r="F22" s="38"/>
      <c r="G22" s="38"/>
      <c r="H22" s="33" t="s">
        <v>197</v>
      </c>
      <c r="I22" s="42"/>
      <c r="J22" s="42"/>
      <c r="K22" s="7"/>
    </row>
    <row r="23">
      <c r="A23" s="7"/>
      <c r="B23" s="31">
        <f t="shared" si="1"/>
        <v>19</v>
      </c>
      <c r="C23" s="33" t="s">
        <v>201</v>
      </c>
      <c r="D23" s="32" t="s">
        <v>196</v>
      </c>
      <c r="E23" s="32"/>
      <c r="F23" s="38"/>
      <c r="G23" s="38"/>
      <c r="H23" s="33" t="s">
        <v>197</v>
      </c>
      <c r="I23" s="9"/>
      <c r="J23" s="9"/>
      <c r="K23" s="7"/>
    </row>
    <row r="24">
      <c r="A24" s="7"/>
      <c r="B24" s="31">
        <f t="shared" si="1"/>
        <v>20</v>
      </c>
      <c r="C24" s="33" t="s">
        <v>202</v>
      </c>
      <c r="D24" s="32" t="s">
        <v>196</v>
      </c>
      <c r="E24" s="32"/>
      <c r="F24" s="38"/>
      <c r="G24" s="38"/>
      <c r="H24" s="33" t="s">
        <v>197</v>
      </c>
      <c r="I24" s="9"/>
      <c r="J24" s="9"/>
      <c r="K24" s="7"/>
    </row>
    <row r="25">
      <c r="A25" s="7"/>
      <c r="B25" s="31">
        <f t="shared" si="1"/>
        <v>21</v>
      </c>
      <c r="C25" s="44" t="s">
        <v>203</v>
      </c>
      <c r="D25" s="44" t="s">
        <v>204</v>
      </c>
      <c r="E25" s="44"/>
      <c r="F25" s="38"/>
      <c r="G25" s="38"/>
      <c r="H25" s="33" t="s">
        <v>197</v>
      </c>
      <c r="I25" s="9"/>
      <c r="J25" s="9"/>
      <c r="K25" s="7"/>
    </row>
    <row r="26">
      <c r="A26" s="7"/>
      <c r="B26" s="31">
        <f t="shared" si="1"/>
        <v>22</v>
      </c>
      <c r="C26" s="44" t="s">
        <v>205</v>
      </c>
      <c r="D26" s="44" t="s">
        <v>196</v>
      </c>
      <c r="E26" s="44"/>
      <c r="F26" s="38"/>
      <c r="G26" s="38"/>
      <c r="H26" s="33" t="s">
        <v>197</v>
      </c>
      <c r="I26" s="9"/>
      <c r="J26" s="9"/>
      <c r="K26" s="7"/>
    </row>
    <row r="27">
      <c r="A27" s="7"/>
      <c r="B27" s="31">
        <f t="shared" si="1"/>
        <v>23</v>
      </c>
      <c r="C27" s="33" t="s">
        <v>206</v>
      </c>
      <c r="D27" s="32" t="s">
        <v>196</v>
      </c>
      <c r="E27" s="32"/>
      <c r="F27" s="38"/>
      <c r="G27" s="38"/>
      <c r="H27" s="33" t="s">
        <v>197</v>
      </c>
      <c r="I27" s="9"/>
      <c r="J27" s="9"/>
      <c r="K27" s="7"/>
    </row>
    <row r="28">
      <c r="A28" s="7"/>
      <c r="B28" s="31">
        <f t="shared" si="1"/>
        <v>24</v>
      </c>
      <c r="C28" s="33" t="s">
        <v>207</v>
      </c>
      <c r="D28" s="32" t="s">
        <v>196</v>
      </c>
      <c r="E28" s="32"/>
      <c r="F28" s="38"/>
      <c r="G28" s="38"/>
      <c r="H28" s="33" t="s">
        <v>197</v>
      </c>
      <c r="I28" s="9"/>
      <c r="J28" s="9"/>
      <c r="K28" s="7"/>
    </row>
    <row r="29">
      <c r="A29" s="7"/>
      <c r="B29" s="31">
        <f t="shared" si="1"/>
        <v>25</v>
      </c>
      <c r="C29" s="33" t="s">
        <v>208</v>
      </c>
      <c r="D29" s="32" t="s">
        <v>196</v>
      </c>
      <c r="E29" s="32"/>
      <c r="F29" s="38"/>
      <c r="G29" s="38"/>
      <c r="H29" s="33" t="s">
        <v>197</v>
      </c>
      <c r="I29" s="9"/>
      <c r="J29" s="9"/>
      <c r="K29" s="7"/>
    </row>
    <row r="30">
      <c r="A30" s="7"/>
      <c r="B30" s="31">
        <f t="shared" si="1"/>
        <v>26</v>
      </c>
      <c r="C30" s="33" t="s">
        <v>209</v>
      </c>
      <c r="D30" s="32" t="s">
        <v>196</v>
      </c>
      <c r="E30" s="32"/>
      <c r="F30" s="38"/>
      <c r="G30" s="38"/>
      <c r="H30" s="33" t="s">
        <v>197</v>
      </c>
      <c r="I30" s="9"/>
      <c r="J30" s="9"/>
      <c r="K30" s="7"/>
    </row>
    <row r="31">
      <c r="A31" s="7"/>
      <c r="B31" s="31">
        <f t="shared" si="1"/>
        <v>27</v>
      </c>
      <c r="C31" s="33" t="s">
        <v>210</v>
      </c>
      <c r="D31" s="32" t="s">
        <v>204</v>
      </c>
      <c r="E31" s="32"/>
      <c r="F31" s="38"/>
      <c r="G31" s="38"/>
      <c r="H31" s="33" t="s">
        <v>197</v>
      </c>
      <c r="I31" s="9"/>
      <c r="J31" s="9"/>
      <c r="K31" s="7"/>
    </row>
    <row r="32">
      <c r="A32" s="7"/>
      <c r="B32" s="31">
        <f t="shared" si="1"/>
        <v>28</v>
      </c>
      <c r="C32" s="33" t="s">
        <v>211</v>
      </c>
      <c r="D32" s="32" t="s">
        <v>212</v>
      </c>
      <c r="E32" s="32"/>
      <c r="F32" s="38"/>
      <c r="G32" s="38"/>
      <c r="H32" s="33" t="s">
        <v>197</v>
      </c>
      <c r="I32" s="9"/>
      <c r="J32" s="9"/>
      <c r="K32" s="7"/>
    </row>
    <row r="33">
      <c r="A33" s="7"/>
      <c r="B33" s="31">
        <f t="shared" si="1"/>
        <v>29</v>
      </c>
      <c r="C33" s="33" t="s">
        <v>213</v>
      </c>
      <c r="D33" s="32" t="s">
        <v>196</v>
      </c>
      <c r="E33" s="32"/>
      <c r="F33" s="38"/>
      <c r="G33" s="38"/>
      <c r="H33" s="33" t="s">
        <v>197</v>
      </c>
      <c r="I33" s="9"/>
      <c r="J33" s="9"/>
      <c r="K33" s="7"/>
    </row>
    <row r="34">
      <c r="A34" s="7"/>
      <c r="B34" s="31">
        <f t="shared" si="1"/>
        <v>30</v>
      </c>
      <c r="C34" s="33" t="s">
        <v>214</v>
      </c>
      <c r="D34" s="32" t="s">
        <v>196</v>
      </c>
      <c r="E34" s="32"/>
      <c r="F34" s="38"/>
      <c r="G34" s="38"/>
      <c r="H34" s="33" t="s">
        <v>197</v>
      </c>
      <c r="I34" s="42"/>
      <c r="J34" s="42"/>
      <c r="K34" s="7"/>
    </row>
    <row r="35">
      <c r="A35" s="7"/>
      <c r="B35" s="31">
        <f t="shared" si="1"/>
        <v>31</v>
      </c>
      <c r="C35" s="33" t="s">
        <v>215</v>
      </c>
      <c r="D35" s="32" t="s">
        <v>196</v>
      </c>
      <c r="E35" s="32"/>
      <c r="F35" s="38"/>
      <c r="G35" s="38"/>
      <c r="H35" s="33" t="s">
        <v>197</v>
      </c>
      <c r="I35" s="9"/>
      <c r="J35" s="9"/>
      <c r="K35" s="7"/>
    </row>
    <row r="36">
      <c r="A36" s="7"/>
      <c r="B36" s="31">
        <f t="shared" si="1"/>
        <v>32</v>
      </c>
      <c r="C36" s="33" t="s">
        <v>216</v>
      </c>
      <c r="D36" s="32" t="s">
        <v>196</v>
      </c>
      <c r="E36" s="32"/>
      <c r="F36" s="38"/>
      <c r="G36" s="38"/>
      <c r="H36" s="33" t="s">
        <v>197</v>
      </c>
      <c r="I36" s="9"/>
      <c r="J36" s="9"/>
      <c r="K36" s="7"/>
    </row>
    <row r="37">
      <c r="A37" s="7"/>
      <c r="B37" s="31">
        <f t="shared" si="1"/>
        <v>33</v>
      </c>
      <c r="C37" s="33" t="s">
        <v>217</v>
      </c>
      <c r="D37" s="32" t="s">
        <v>196</v>
      </c>
      <c r="E37" s="32"/>
      <c r="F37" s="38"/>
      <c r="G37" s="38"/>
      <c r="H37" s="33" t="s">
        <v>197</v>
      </c>
      <c r="I37" s="9"/>
      <c r="J37" s="9"/>
      <c r="K37" s="7"/>
    </row>
    <row r="38">
      <c r="A38" s="7"/>
      <c r="B38" s="31">
        <f t="shared" si="1"/>
        <v>34</v>
      </c>
      <c r="C38" s="33" t="s">
        <v>218</v>
      </c>
      <c r="D38" s="32" t="s">
        <v>196</v>
      </c>
      <c r="E38" s="32"/>
      <c r="F38" s="38"/>
      <c r="G38" s="38"/>
      <c r="H38" s="33" t="s">
        <v>197</v>
      </c>
      <c r="I38" s="9"/>
      <c r="J38" s="9"/>
      <c r="K38" s="7"/>
    </row>
    <row r="39">
      <c r="A39" s="7"/>
      <c r="B39" s="31">
        <f t="shared" si="1"/>
        <v>35</v>
      </c>
      <c r="C39" s="33" t="s">
        <v>219</v>
      </c>
      <c r="D39" s="32" t="s">
        <v>196</v>
      </c>
      <c r="E39" s="32"/>
      <c r="F39" s="38"/>
      <c r="G39" s="38"/>
      <c r="H39" s="33" t="s">
        <v>197</v>
      </c>
      <c r="I39" s="9"/>
      <c r="J39" s="9"/>
      <c r="K39" s="7"/>
    </row>
    <row r="40">
      <c r="A40" s="7"/>
      <c r="B40" s="31">
        <f t="shared" si="1"/>
        <v>36</v>
      </c>
      <c r="C40" s="33" t="s">
        <v>220</v>
      </c>
      <c r="D40" s="32" t="s">
        <v>196</v>
      </c>
      <c r="E40" s="32"/>
      <c r="F40" s="38"/>
      <c r="G40" s="38"/>
      <c r="H40" s="33" t="s">
        <v>197</v>
      </c>
      <c r="I40" s="42"/>
      <c r="J40" s="42"/>
      <c r="K40" s="7"/>
    </row>
    <row r="41">
      <c r="A41" s="7"/>
      <c r="B41" s="31">
        <f t="shared" si="1"/>
        <v>37</v>
      </c>
      <c r="C41" s="33" t="s">
        <v>221</v>
      </c>
      <c r="D41" s="32" t="s">
        <v>222</v>
      </c>
      <c r="E41" s="32"/>
      <c r="F41" s="38"/>
      <c r="G41" s="38"/>
      <c r="H41" s="33" t="s">
        <v>197</v>
      </c>
      <c r="I41" s="42"/>
      <c r="J41" s="42"/>
      <c r="K41" s="7"/>
    </row>
    <row r="42">
      <c r="A42" s="7"/>
      <c r="B42" s="31">
        <f t="shared" si="1"/>
        <v>38</v>
      </c>
      <c r="C42" s="33" t="s">
        <v>223</v>
      </c>
      <c r="D42" s="32" t="s">
        <v>196</v>
      </c>
      <c r="E42" s="32"/>
      <c r="F42" s="38"/>
      <c r="G42" s="38"/>
      <c r="H42" s="33" t="s">
        <v>197</v>
      </c>
      <c r="I42" s="42"/>
      <c r="J42" s="42"/>
      <c r="K42" s="7"/>
    </row>
    <row r="43">
      <c r="A43" s="7"/>
      <c r="B43" s="31">
        <f t="shared" si="1"/>
        <v>39</v>
      </c>
      <c r="C43" s="33" t="s">
        <v>224</v>
      </c>
      <c r="D43" s="32" t="s">
        <v>196</v>
      </c>
      <c r="E43" s="32"/>
      <c r="F43" s="38"/>
      <c r="G43" s="38"/>
      <c r="H43" s="33" t="s">
        <v>197</v>
      </c>
      <c r="I43" s="42"/>
      <c r="J43" s="42"/>
      <c r="K43" s="7"/>
    </row>
    <row r="44">
      <c r="A44" s="7"/>
      <c r="B44" s="31">
        <f t="shared" si="1"/>
        <v>40</v>
      </c>
      <c r="C44" s="33" t="s">
        <v>225</v>
      </c>
      <c r="D44" s="32" t="s">
        <v>204</v>
      </c>
      <c r="E44" s="32"/>
      <c r="F44" s="38"/>
      <c r="G44" s="38"/>
      <c r="H44" s="33" t="s">
        <v>197</v>
      </c>
      <c r="I44" s="42"/>
      <c r="J44" s="42"/>
      <c r="K44" s="7"/>
    </row>
    <row r="45">
      <c r="A45" s="7"/>
      <c r="B45" s="31">
        <f t="shared" si="1"/>
        <v>41</v>
      </c>
      <c r="C45" s="33" t="s">
        <v>226</v>
      </c>
      <c r="D45" s="32" t="s">
        <v>196</v>
      </c>
      <c r="E45" s="32"/>
      <c r="F45" s="38"/>
      <c r="G45" s="38"/>
      <c r="H45" s="33" t="s">
        <v>197</v>
      </c>
      <c r="I45" s="42"/>
      <c r="J45" s="42"/>
      <c r="K45" s="7"/>
    </row>
    <row r="46">
      <c r="A46" s="7"/>
      <c r="B46" s="31">
        <f t="shared" si="1"/>
        <v>42</v>
      </c>
      <c r="C46" s="33" t="s">
        <v>227</v>
      </c>
      <c r="D46" s="32" t="s">
        <v>212</v>
      </c>
      <c r="E46" s="32" t="s">
        <v>228</v>
      </c>
      <c r="F46" s="38"/>
      <c r="G46" s="38"/>
      <c r="H46" s="33" t="s">
        <v>197</v>
      </c>
      <c r="I46" s="42"/>
      <c r="J46" s="42"/>
      <c r="K46" s="7"/>
    </row>
    <row r="47">
      <c r="A47" s="7"/>
      <c r="B47" s="31">
        <f t="shared" si="1"/>
        <v>43</v>
      </c>
      <c r="C47" s="33" t="s">
        <v>229</v>
      </c>
      <c r="D47" s="32" t="s">
        <v>204</v>
      </c>
      <c r="E47" s="32"/>
      <c r="F47" s="38"/>
      <c r="G47" s="38"/>
      <c r="H47" s="33" t="s">
        <v>197</v>
      </c>
      <c r="I47" s="42"/>
      <c r="J47" s="42"/>
      <c r="K47" s="7"/>
    </row>
    <row r="48">
      <c r="A48" s="7"/>
      <c r="B48" s="31">
        <f t="shared" si="1"/>
        <v>44</v>
      </c>
      <c r="C48" s="33" t="s">
        <v>230</v>
      </c>
      <c r="D48" s="32" t="s">
        <v>196</v>
      </c>
      <c r="E48" s="32"/>
      <c r="F48" s="38"/>
      <c r="G48" s="38"/>
      <c r="H48" s="33" t="s">
        <v>197</v>
      </c>
      <c r="I48" s="42"/>
      <c r="J48" s="42"/>
      <c r="K48" s="7"/>
    </row>
    <row r="49">
      <c r="A49" s="7"/>
      <c r="B49" s="31">
        <f t="shared" si="1"/>
        <v>45</v>
      </c>
      <c r="C49" s="33" t="s">
        <v>231</v>
      </c>
      <c r="D49" s="32" t="s">
        <v>196</v>
      </c>
      <c r="E49" s="32"/>
      <c r="F49" s="38"/>
      <c r="G49" s="38"/>
      <c r="H49" s="33" t="s">
        <v>197</v>
      </c>
      <c r="I49" s="42"/>
      <c r="J49" s="42"/>
      <c r="K49" s="7"/>
    </row>
    <row r="50">
      <c r="A50" s="7"/>
      <c r="B50" s="31">
        <f t="shared" si="1"/>
        <v>46</v>
      </c>
      <c r="C50" s="33" t="s">
        <v>232</v>
      </c>
      <c r="D50" s="32" t="s">
        <v>196</v>
      </c>
      <c r="E50" s="32"/>
      <c r="F50" s="38"/>
      <c r="G50" s="38"/>
      <c r="H50" s="33" t="s">
        <v>197</v>
      </c>
      <c r="I50" s="42"/>
      <c r="J50" s="42"/>
      <c r="K50" s="7"/>
    </row>
    <row r="51">
      <c r="A51" s="7"/>
      <c r="B51" s="31">
        <f t="shared" si="1"/>
        <v>47</v>
      </c>
      <c r="C51" s="33" t="s">
        <v>233</v>
      </c>
      <c r="D51" s="32" t="s">
        <v>196</v>
      </c>
      <c r="E51" s="32"/>
      <c r="F51" s="38"/>
      <c r="G51" s="38"/>
      <c r="H51" s="33" t="s">
        <v>197</v>
      </c>
      <c r="I51" s="42"/>
      <c r="J51" s="42"/>
      <c r="K51" s="7"/>
    </row>
    <row r="52">
      <c r="A52" s="7"/>
      <c r="B52" s="31">
        <f t="shared" si="1"/>
        <v>48</v>
      </c>
      <c r="C52" s="33" t="s">
        <v>234</v>
      </c>
      <c r="D52" s="32" t="s">
        <v>196</v>
      </c>
      <c r="E52" s="32"/>
      <c r="F52" s="38"/>
      <c r="G52" s="38"/>
      <c r="H52" s="33" t="s">
        <v>197</v>
      </c>
      <c r="I52" s="42"/>
      <c r="J52" s="42"/>
      <c r="K52" s="7"/>
    </row>
    <row r="53">
      <c r="A53" s="7"/>
      <c r="B53" s="31">
        <f t="shared" si="1"/>
        <v>49</v>
      </c>
      <c r="C53" s="33" t="s">
        <v>235</v>
      </c>
      <c r="D53" s="32" t="s">
        <v>236</v>
      </c>
      <c r="E53" s="32"/>
      <c r="F53" s="38"/>
      <c r="G53" s="38"/>
      <c r="H53" s="33" t="s">
        <v>197</v>
      </c>
      <c r="I53" s="42"/>
      <c r="J53" s="42"/>
      <c r="K53" s="7"/>
    </row>
    <row r="54">
      <c r="A54" s="7"/>
      <c r="B54" s="31">
        <f t="shared" si="1"/>
        <v>50</v>
      </c>
      <c r="C54" s="33" t="s">
        <v>237</v>
      </c>
      <c r="D54" s="32" t="s">
        <v>196</v>
      </c>
      <c r="E54" s="32"/>
      <c r="F54" s="38"/>
      <c r="G54" s="38"/>
      <c r="H54" s="33" t="s">
        <v>197</v>
      </c>
      <c r="I54" s="42"/>
      <c r="J54" s="42"/>
      <c r="K54" s="7"/>
    </row>
    <row r="55">
      <c r="A55" s="7"/>
      <c r="B55" s="31">
        <f t="shared" si="1"/>
        <v>51</v>
      </c>
      <c r="C55" s="33" t="s">
        <v>238</v>
      </c>
      <c r="D55" s="32" t="s">
        <v>204</v>
      </c>
      <c r="E55" s="32"/>
      <c r="F55" s="38"/>
      <c r="G55" s="38"/>
      <c r="H55" s="33" t="s">
        <v>197</v>
      </c>
      <c r="I55" s="42"/>
      <c r="J55" s="42"/>
      <c r="K55" s="7"/>
    </row>
    <row r="56">
      <c r="A56" s="7"/>
      <c r="B56" s="31">
        <f t="shared" si="1"/>
        <v>52</v>
      </c>
      <c r="C56" s="33" t="s">
        <v>239</v>
      </c>
      <c r="D56" s="32" t="s">
        <v>204</v>
      </c>
      <c r="E56" s="32"/>
      <c r="F56" s="38"/>
      <c r="G56" s="38"/>
      <c r="H56" s="33" t="s">
        <v>197</v>
      </c>
      <c r="I56" s="42"/>
      <c r="J56" s="42"/>
      <c r="K56" s="7"/>
    </row>
    <row r="57">
      <c r="A57" s="7"/>
      <c r="B57" s="42"/>
      <c r="C57" s="9"/>
      <c r="D57" s="7"/>
      <c r="E57" s="7"/>
      <c r="F57" s="42"/>
      <c r="G57" s="42"/>
      <c r="H57" s="42"/>
      <c r="I57" s="42"/>
      <c r="J57" s="42"/>
      <c r="K57" s="7"/>
    </row>
    <row r="58">
      <c r="A58" s="7"/>
      <c r="B58" s="42"/>
      <c r="C58" s="9"/>
      <c r="D58" s="7"/>
      <c r="E58" s="7"/>
      <c r="F58" s="42"/>
      <c r="G58" s="42"/>
      <c r="H58" s="42"/>
      <c r="I58" s="42"/>
      <c r="J58" s="42"/>
      <c r="K58" s="7"/>
    </row>
    <row r="59">
      <c r="A59" s="7"/>
      <c r="B59" s="42"/>
      <c r="C59" s="9"/>
      <c r="D59" s="7"/>
      <c r="E59" s="7"/>
      <c r="F59" s="42"/>
      <c r="G59" s="42"/>
      <c r="H59" s="42"/>
      <c r="I59" s="42"/>
      <c r="J59" s="42"/>
      <c r="K59" s="7"/>
    </row>
    <row r="60">
      <c r="A60" s="7"/>
      <c r="B60" s="42"/>
      <c r="C60" s="9"/>
      <c r="D60" s="7"/>
      <c r="E60" s="7"/>
      <c r="F60" s="42"/>
      <c r="G60" s="42"/>
      <c r="H60" s="42"/>
      <c r="I60" s="42"/>
      <c r="J60" s="42"/>
      <c r="K60" s="7"/>
    </row>
    <row r="61">
      <c r="A61" s="7"/>
      <c r="B61" s="42"/>
      <c r="C61" s="9"/>
      <c r="D61" s="7"/>
      <c r="E61" s="7"/>
      <c r="F61" s="42"/>
      <c r="G61" s="42"/>
      <c r="H61" s="42"/>
      <c r="I61" s="42"/>
      <c r="J61" s="42"/>
      <c r="K61" s="7"/>
    </row>
    <row r="62">
      <c r="A62" s="7"/>
      <c r="B62" s="42"/>
      <c r="C62" s="9"/>
      <c r="D62" s="7"/>
      <c r="E62" s="7"/>
      <c r="F62" s="42"/>
      <c r="G62" s="42"/>
      <c r="H62" s="42"/>
      <c r="I62" s="42"/>
      <c r="J62" s="42"/>
      <c r="K62" s="7"/>
    </row>
    <row r="63">
      <c r="A63" s="7"/>
      <c r="B63" s="42"/>
      <c r="C63" s="9"/>
      <c r="D63" s="7"/>
      <c r="E63" s="7"/>
      <c r="F63" s="42"/>
      <c r="G63" s="42"/>
      <c r="H63" s="42"/>
      <c r="I63" s="42"/>
      <c r="J63" s="42"/>
      <c r="K63" s="7"/>
    </row>
    <row r="64">
      <c r="A64" s="7"/>
      <c r="B64" s="42"/>
      <c r="C64" s="9"/>
      <c r="D64" s="7"/>
      <c r="E64" s="7"/>
      <c r="F64" s="42"/>
      <c r="G64" s="42"/>
      <c r="H64" s="42"/>
      <c r="I64" s="42"/>
      <c r="J64" s="42"/>
      <c r="K64" s="7"/>
    </row>
    <row r="65">
      <c r="A65" s="7"/>
      <c r="B65" s="42"/>
      <c r="C65" s="9"/>
      <c r="D65" s="7"/>
      <c r="E65" s="7"/>
      <c r="F65" s="42"/>
      <c r="G65" s="42"/>
      <c r="H65" s="42"/>
      <c r="I65" s="42"/>
      <c r="J65" s="42"/>
      <c r="K65" s="7"/>
    </row>
    <row r="66">
      <c r="A66" s="7"/>
      <c r="B66" s="42"/>
      <c r="C66" s="9"/>
      <c r="D66" s="7"/>
      <c r="E66" s="7"/>
      <c r="F66" s="42"/>
      <c r="G66" s="42"/>
      <c r="H66" s="42"/>
      <c r="I66" s="42"/>
      <c r="J66" s="42"/>
      <c r="K66" s="7"/>
    </row>
    <row r="67">
      <c r="A67" s="7"/>
      <c r="B67" s="42"/>
      <c r="C67" s="9"/>
      <c r="D67" s="7"/>
      <c r="E67" s="7"/>
      <c r="F67" s="42"/>
      <c r="G67" s="42"/>
      <c r="H67" s="42"/>
      <c r="I67" s="42"/>
      <c r="J67" s="42"/>
      <c r="K67" s="7"/>
    </row>
    <row r="68">
      <c r="A68" s="7"/>
      <c r="B68" s="42"/>
      <c r="C68" s="9"/>
      <c r="D68" s="7"/>
      <c r="E68" s="7"/>
      <c r="F68" s="42"/>
      <c r="G68" s="42"/>
      <c r="H68" s="42"/>
      <c r="I68" s="42"/>
      <c r="J68" s="42"/>
      <c r="K68" s="7"/>
    </row>
    <row r="69">
      <c r="A69" s="7"/>
      <c r="B69" s="42"/>
      <c r="C69" s="9"/>
      <c r="D69" s="7"/>
      <c r="E69" s="7"/>
      <c r="F69" s="42"/>
      <c r="G69" s="42"/>
      <c r="H69" s="42"/>
      <c r="I69" s="42"/>
      <c r="J69" s="42"/>
      <c r="K69" s="7"/>
    </row>
    <row r="70">
      <c r="A70" s="7"/>
      <c r="B70" s="42"/>
      <c r="C70" s="9"/>
      <c r="D70" s="7"/>
      <c r="E70" s="7"/>
      <c r="F70" s="42"/>
      <c r="G70" s="42"/>
      <c r="H70" s="42"/>
      <c r="I70" s="42"/>
      <c r="J70" s="42"/>
      <c r="K70" s="7"/>
    </row>
    <row r="71">
      <c r="A71" s="7"/>
      <c r="B71" s="42"/>
      <c r="C71" s="9"/>
      <c r="D71" s="7"/>
      <c r="E71" s="7"/>
      <c r="F71" s="42"/>
      <c r="G71" s="42"/>
      <c r="H71" s="42"/>
      <c r="I71" s="42"/>
      <c r="J71" s="42"/>
      <c r="K71" s="7"/>
    </row>
    <row r="72">
      <c r="A72" s="7"/>
      <c r="B72" s="42"/>
      <c r="C72" s="9"/>
      <c r="D72" s="7"/>
      <c r="E72" s="7"/>
      <c r="F72" s="42"/>
      <c r="G72" s="42"/>
      <c r="H72" s="42"/>
      <c r="I72" s="42"/>
      <c r="J72" s="42"/>
      <c r="K72" s="7"/>
    </row>
    <row r="73">
      <c r="A73" s="7"/>
      <c r="B73" s="42"/>
      <c r="C73" s="9"/>
      <c r="D73" s="7"/>
      <c r="E73" s="7"/>
      <c r="F73" s="42"/>
      <c r="G73" s="42"/>
      <c r="H73" s="42"/>
      <c r="I73" s="42"/>
      <c r="J73" s="42"/>
      <c r="K73" s="7"/>
    </row>
    <row r="74">
      <c r="A74" s="7"/>
      <c r="B74" s="42"/>
      <c r="C74" s="9"/>
      <c r="D74" s="7"/>
      <c r="E74" s="7"/>
      <c r="F74" s="42"/>
      <c r="G74" s="42"/>
      <c r="H74" s="42"/>
      <c r="I74" s="42"/>
      <c r="J74" s="42"/>
      <c r="K74" s="7"/>
    </row>
    <row r="75">
      <c r="A75" s="7"/>
      <c r="B75" s="42"/>
      <c r="C75" s="9"/>
      <c r="D75" s="7"/>
      <c r="E75" s="7"/>
      <c r="F75" s="42"/>
      <c r="G75" s="42"/>
      <c r="H75" s="42"/>
      <c r="I75" s="42"/>
      <c r="J75" s="42"/>
      <c r="K75" s="7"/>
    </row>
    <row r="76">
      <c r="A76" s="7"/>
      <c r="B76" s="42"/>
      <c r="C76" s="9"/>
      <c r="D76" s="7"/>
      <c r="E76" s="7"/>
      <c r="F76" s="42"/>
      <c r="G76" s="42"/>
      <c r="H76" s="42"/>
      <c r="I76" s="42"/>
      <c r="J76" s="42"/>
      <c r="K76" s="7"/>
    </row>
    <row r="77">
      <c r="A77" s="7"/>
      <c r="B77" s="42"/>
      <c r="C77" s="9"/>
      <c r="D77" s="7"/>
      <c r="E77" s="7"/>
      <c r="F77" s="42"/>
      <c r="G77" s="42"/>
      <c r="H77" s="42"/>
      <c r="I77" s="42"/>
      <c r="J77" s="42"/>
      <c r="K77" s="7"/>
    </row>
    <row r="78">
      <c r="A78" s="7"/>
      <c r="B78" s="42"/>
      <c r="C78" s="9"/>
      <c r="D78" s="7"/>
      <c r="E78" s="7"/>
      <c r="F78" s="42"/>
      <c r="G78" s="42"/>
      <c r="H78" s="42"/>
      <c r="I78" s="42"/>
      <c r="J78" s="42"/>
      <c r="K78" s="7"/>
    </row>
    <row r="79">
      <c r="A79" s="7"/>
      <c r="B79" s="42"/>
      <c r="C79" s="9"/>
      <c r="D79" s="7"/>
      <c r="E79" s="7"/>
      <c r="F79" s="42"/>
      <c r="G79" s="42"/>
      <c r="H79" s="42"/>
      <c r="I79" s="42"/>
      <c r="J79" s="42"/>
      <c r="K79" s="7"/>
    </row>
    <row r="80">
      <c r="A80" s="7"/>
      <c r="B80" s="42"/>
      <c r="C80" s="9"/>
      <c r="D80" s="7"/>
      <c r="E80" s="7"/>
      <c r="F80" s="42"/>
      <c r="G80" s="42"/>
      <c r="H80" s="42"/>
      <c r="I80" s="42"/>
      <c r="J80" s="42"/>
      <c r="K80" s="7"/>
    </row>
    <row r="81">
      <c r="A81" s="7"/>
      <c r="B81" s="42"/>
      <c r="C81" s="9"/>
      <c r="D81" s="7"/>
      <c r="E81" s="7"/>
      <c r="F81" s="42"/>
      <c r="G81" s="42"/>
      <c r="H81" s="42"/>
      <c r="I81" s="42"/>
      <c r="J81" s="42"/>
      <c r="K81" s="7"/>
    </row>
    <row r="82">
      <c r="A82" s="7"/>
      <c r="B82" s="42"/>
      <c r="C82" s="9"/>
      <c r="D82" s="7"/>
      <c r="E82" s="7"/>
      <c r="F82" s="42"/>
      <c r="G82" s="42"/>
      <c r="H82" s="42"/>
      <c r="I82" s="42"/>
      <c r="J82" s="42"/>
      <c r="K82" s="7"/>
    </row>
    <row r="83">
      <c r="A83" s="7"/>
      <c r="B83" s="42"/>
      <c r="C83" s="9"/>
      <c r="D83" s="7"/>
      <c r="E83" s="7"/>
      <c r="F83" s="42"/>
      <c r="G83" s="42"/>
      <c r="H83" s="42"/>
      <c r="I83" s="42"/>
      <c r="J83" s="42"/>
      <c r="K83" s="7"/>
    </row>
    <row r="84">
      <c r="A84" s="7"/>
      <c r="B84" s="42"/>
      <c r="C84" s="9"/>
      <c r="D84" s="7"/>
      <c r="E84" s="7"/>
      <c r="F84" s="42"/>
      <c r="G84" s="42"/>
      <c r="H84" s="42"/>
      <c r="I84" s="42"/>
      <c r="J84" s="42"/>
      <c r="K84" s="7"/>
    </row>
    <row r="85">
      <c r="A85" s="7"/>
      <c r="B85" s="42"/>
      <c r="C85" s="9"/>
      <c r="D85" s="7"/>
      <c r="E85" s="7"/>
      <c r="F85" s="42"/>
      <c r="G85" s="42"/>
      <c r="H85" s="42"/>
      <c r="I85" s="42"/>
      <c r="J85" s="42"/>
      <c r="K85" s="7"/>
    </row>
    <row r="86">
      <c r="A86" s="7"/>
      <c r="B86" s="42"/>
      <c r="C86" s="9"/>
      <c r="D86" s="7"/>
      <c r="E86" s="7"/>
      <c r="F86" s="42"/>
      <c r="G86" s="42"/>
      <c r="H86" s="42"/>
      <c r="I86" s="42"/>
      <c r="J86" s="42"/>
      <c r="K86" s="7"/>
    </row>
    <row r="87">
      <c r="A87" s="7"/>
      <c r="B87" s="42"/>
      <c r="C87" s="9"/>
      <c r="D87" s="7"/>
      <c r="E87" s="7"/>
      <c r="F87" s="42"/>
      <c r="G87" s="42"/>
      <c r="H87" s="42"/>
      <c r="I87" s="42"/>
      <c r="J87" s="42"/>
      <c r="K87" s="7"/>
    </row>
    <row r="88">
      <c r="A88" s="7"/>
      <c r="B88" s="42"/>
      <c r="C88" s="9"/>
      <c r="D88" s="7"/>
      <c r="E88" s="7"/>
      <c r="F88" s="42"/>
      <c r="G88" s="42"/>
      <c r="H88" s="42"/>
      <c r="I88" s="42"/>
      <c r="J88" s="42"/>
      <c r="K88" s="7"/>
    </row>
    <row r="89">
      <c r="A89" s="7"/>
      <c r="B89" s="42"/>
      <c r="C89" s="9"/>
      <c r="D89" s="7"/>
      <c r="E89" s="7"/>
      <c r="F89" s="42"/>
      <c r="G89" s="42"/>
      <c r="H89" s="42"/>
      <c r="I89" s="42"/>
      <c r="J89" s="42"/>
      <c r="K89" s="7"/>
    </row>
    <row r="90">
      <c r="A90" s="7"/>
      <c r="B90" s="42"/>
      <c r="C90" s="9"/>
      <c r="D90" s="7"/>
      <c r="E90" s="7"/>
      <c r="F90" s="42"/>
      <c r="G90" s="42"/>
      <c r="H90" s="42"/>
      <c r="I90" s="42"/>
      <c r="J90" s="42"/>
      <c r="K90" s="7"/>
    </row>
    <row r="91">
      <c r="A91" s="7"/>
      <c r="B91" s="42"/>
      <c r="C91" s="9"/>
      <c r="D91" s="7"/>
      <c r="E91" s="7"/>
      <c r="F91" s="42"/>
      <c r="G91" s="42"/>
      <c r="H91" s="42"/>
      <c r="I91" s="42"/>
      <c r="J91" s="42"/>
      <c r="K91" s="7"/>
    </row>
    <row r="92">
      <c r="A92" s="7"/>
      <c r="B92" s="42"/>
      <c r="C92" s="9"/>
      <c r="D92" s="7"/>
      <c r="E92" s="7"/>
      <c r="F92" s="42"/>
      <c r="G92" s="42"/>
      <c r="H92" s="42"/>
      <c r="I92" s="42"/>
      <c r="J92" s="42"/>
      <c r="K92" s="7"/>
    </row>
    <row r="93">
      <c r="A93" s="7"/>
      <c r="B93" s="42"/>
      <c r="C93" s="9"/>
      <c r="D93" s="7"/>
      <c r="E93" s="7"/>
      <c r="F93" s="42"/>
      <c r="G93" s="42"/>
      <c r="H93" s="42"/>
      <c r="I93" s="42"/>
      <c r="J93" s="42"/>
      <c r="K93" s="7"/>
    </row>
    <row r="94">
      <c r="A94" s="7"/>
      <c r="B94" s="42"/>
      <c r="C94" s="9"/>
      <c r="D94" s="7"/>
      <c r="E94" s="7"/>
      <c r="F94" s="42"/>
      <c r="G94" s="42"/>
      <c r="H94" s="42"/>
      <c r="I94" s="42"/>
      <c r="J94" s="42"/>
      <c r="K94" s="7"/>
    </row>
    <row r="95">
      <c r="A95" s="7"/>
      <c r="B95" s="42"/>
      <c r="C95" s="9"/>
      <c r="D95" s="7"/>
      <c r="E95" s="7"/>
      <c r="F95" s="42"/>
      <c r="G95" s="42"/>
      <c r="H95" s="42"/>
      <c r="I95" s="42"/>
      <c r="J95" s="42"/>
      <c r="K95" s="7"/>
    </row>
    <row r="96">
      <c r="A96" s="7"/>
      <c r="B96" s="42"/>
      <c r="C96" s="9"/>
      <c r="D96" s="7"/>
      <c r="E96" s="7"/>
      <c r="F96" s="42"/>
      <c r="G96" s="42"/>
      <c r="H96" s="42"/>
      <c r="I96" s="42"/>
      <c r="J96" s="42"/>
      <c r="K96" s="7"/>
    </row>
    <row r="97">
      <c r="A97" s="7"/>
      <c r="B97" s="42"/>
      <c r="C97" s="9"/>
      <c r="D97" s="7"/>
      <c r="E97" s="7"/>
      <c r="F97" s="42"/>
      <c r="G97" s="42"/>
      <c r="H97" s="42"/>
      <c r="I97" s="42"/>
      <c r="J97" s="42"/>
      <c r="K97" s="7"/>
    </row>
    <row r="98">
      <c r="A98" s="7"/>
      <c r="B98" s="42"/>
      <c r="C98" s="9"/>
      <c r="D98" s="7"/>
      <c r="E98" s="7"/>
      <c r="F98" s="42"/>
      <c r="G98" s="42"/>
      <c r="H98" s="42"/>
      <c r="I98" s="42"/>
      <c r="J98" s="42"/>
      <c r="K98" s="7"/>
    </row>
    <row r="99">
      <c r="A99" s="7"/>
      <c r="B99" s="42"/>
      <c r="C99" s="9"/>
      <c r="D99" s="7"/>
      <c r="E99" s="7"/>
      <c r="F99" s="42"/>
      <c r="G99" s="42"/>
      <c r="H99" s="42"/>
      <c r="I99" s="42"/>
      <c r="J99" s="42"/>
      <c r="K99" s="7"/>
    </row>
    <row r="100">
      <c r="A100" s="7"/>
      <c r="B100" s="42"/>
      <c r="C100" s="9"/>
      <c r="D100" s="7"/>
      <c r="E100" s="7"/>
      <c r="F100" s="42"/>
      <c r="G100" s="42"/>
      <c r="H100" s="42"/>
      <c r="I100" s="42"/>
      <c r="J100" s="42"/>
      <c r="K100" s="7"/>
    </row>
    <row r="101">
      <c r="A101" s="7"/>
      <c r="B101" s="42"/>
      <c r="C101" s="9"/>
      <c r="D101" s="7"/>
      <c r="E101" s="7"/>
      <c r="F101" s="42"/>
      <c r="G101" s="42"/>
      <c r="H101" s="42"/>
      <c r="I101" s="42"/>
      <c r="J101" s="42"/>
      <c r="K101" s="7"/>
    </row>
    <row r="102">
      <c r="A102" s="7"/>
      <c r="B102" s="42"/>
      <c r="C102" s="9"/>
      <c r="D102" s="7"/>
      <c r="E102" s="7"/>
      <c r="F102" s="42"/>
      <c r="G102" s="42"/>
      <c r="H102" s="42"/>
      <c r="I102" s="42"/>
      <c r="J102" s="42"/>
      <c r="K102" s="7"/>
    </row>
    <row r="103">
      <c r="A103" s="7"/>
      <c r="B103" s="42"/>
      <c r="C103" s="9"/>
      <c r="D103" s="7"/>
      <c r="E103" s="7"/>
      <c r="F103" s="42"/>
      <c r="G103" s="42"/>
      <c r="H103" s="42"/>
      <c r="I103" s="42"/>
      <c r="J103" s="42"/>
      <c r="K103" s="7"/>
    </row>
    <row r="104">
      <c r="A104" s="7"/>
      <c r="B104" s="42"/>
      <c r="C104" s="9"/>
      <c r="D104" s="7"/>
      <c r="E104" s="7"/>
      <c r="F104" s="7"/>
      <c r="G104" s="7"/>
      <c r="H104" s="7"/>
      <c r="I104" s="7"/>
      <c r="J104" s="7"/>
      <c r="K104" s="7"/>
    </row>
    <row r="105">
      <c r="A105" s="7"/>
      <c r="B105" s="42"/>
      <c r="C105" s="9"/>
      <c r="D105" s="7"/>
      <c r="E105" s="7"/>
      <c r="F105" s="7"/>
      <c r="G105" s="7"/>
      <c r="H105" s="7"/>
      <c r="I105" s="7"/>
      <c r="J105" s="7"/>
      <c r="K105" s="7"/>
    </row>
    <row r="106">
      <c r="A106" s="7"/>
      <c r="B106" s="42"/>
      <c r="C106" s="9"/>
      <c r="D106" s="7"/>
      <c r="E106" s="7"/>
      <c r="F106" s="7"/>
      <c r="G106" s="7"/>
      <c r="H106" s="7"/>
      <c r="I106" s="7"/>
      <c r="J106" s="7"/>
      <c r="K106" s="7"/>
    </row>
    <row r="107">
      <c r="A107" s="7"/>
      <c r="B107" s="42"/>
      <c r="C107" s="9"/>
      <c r="D107" s="7"/>
      <c r="E107" s="7"/>
      <c r="F107" s="7"/>
      <c r="G107" s="7"/>
      <c r="H107" s="7"/>
      <c r="I107" s="7"/>
      <c r="J107" s="7"/>
      <c r="K107" s="7"/>
    </row>
    <row r="108">
      <c r="A108" s="7"/>
      <c r="B108" s="42"/>
      <c r="C108" s="9"/>
      <c r="D108" s="7"/>
      <c r="E108" s="7"/>
      <c r="F108" s="7"/>
      <c r="G108" s="7"/>
      <c r="H108" s="7"/>
      <c r="I108" s="7"/>
      <c r="J108" s="7"/>
      <c r="K108" s="7"/>
    </row>
    <row r="109">
      <c r="A109" s="7"/>
      <c r="B109" s="42"/>
      <c r="C109" s="9"/>
      <c r="D109" s="7"/>
      <c r="E109" s="7"/>
      <c r="F109" s="7"/>
      <c r="G109" s="7"/>
      <c r="H109" s="7"/>
      <c r="I109" s="7"/>
      <c r="J109" s="7"/>
      <c r="K109" s="7"/>
    </row>
    <row r="110">
      <c r="A110" s="7"/>
      <c r="B110" s="42"/>
      <c r="C110" s="9"/>
      <c r="D110" s="7"/>
      <c r="E110" s="7"/>
      <c r="F110" s="7"/>
      <c r="G110" s="7"/>
      <c r="H110" s="7"/>
      <c r="I110" s="7"/>
      <c r="J110" s="7"/>
      <c r="K110" s="7"/>
    </row>
    <row r="111">
      <c r="A111" s="7"/>
      <c r="B111" s="42"/>
      <c r="C111" s="9"/>
      <c r="D111" s="7"/>
      <c r="E111" s="7"/>
      <c r="F111" s="7"/>
      <c r="G111" s="7"/>
      <c r="H111" s="7"/>
      <c r="I111" s="7"/>
      <c r="J111" s="7"/>
      <c r="K111" s="7"/>
    </row>
    <row r="112">
      <c r="A112" s="7"/>
      <c r="B112" s="42"/>
      <c r="C112" s="9"/>
      <c r="D112" s="7"/>
      <c r="E112" s="7"/>
      <c r="F112" s="7"/>
      <c r="G112" s="7"/>
      <c r="H112" s="7"/>
      <c r="I112" s="7"/>
      <c r="J112" s="7"/>
      <c r="K112" s="7"/>
    </row>
    <row r="113">
      <c r="A113" s="7"/>
      <c r="B113" s="42"/>
      <c r="C113" s="9"/>
      <c r="D113" s="7"/>
      <c r="E113" s="7"/>
      <c r="F113" s="7"/>
      <c r="G113" s="7"/>
      <c r="H113" s="7"/>
      <c r="I113" s="7"/>
      <c r="J113" s="7"/>
      <c r="K113" s="7"/>
    </row>
    <row r="114">
      <c r="A114" s="7"/>
      <c r="B114" s="42"/>
      <c r="C114" s="9"/>
      <c r="D114" s="7"/>
      <c r="E114" s="7"/>
      <c r="F114" s="7"/>
      <c r="G114" s="7"/>
      <c r="H114" s="7"/>
      <c r="I114" s="7"/>
      <c r="J114" s="7"/>
      <c r="K114" s="7"/>
    </row>
    <row r="115">
      <c r="A115" s="7"/>
      <c r="B115" s="42"/>
      <c r="C115" s="9"/>
      <c r="D115" s="7"/>
      <c r="E115" s="7"/>
      <c r="F115" s="7"/>
      <c r="G115" s="7"/>
      <c r="H115" s="7"/>
      <c r="I115" s="7"/>
      <c r="J115" s="7"/>
      <c r="K115" s="7"/>
    </row>
    <row r="116">
      <c r="A116" s="7"/>
      <c r="B116" s="42"/>
      <c r="C116" s="9"/>
      <c r="D116" s="7"/>
      <c r="E116" s="7"/>
      <c r="F116" s="7"/>
      <c r="G116" s="7"/>
      <c r="H116" s="7"/>
      <c r="I116" s="7"/>
      <c r="J116" s="7"/>
      <c r="K116" s="7"/>
    </row>
    <row r="117">
      <c r="A117" s="7"/>
      <c r="B117" s="42"/>
      <c r="C117" s="9"/>
      <c r="D117" s="7"/>
      <c r="E117" s="7"/>
      <c r="F117" s="7"/>
      <c r="G117" s="7"/>
      <c r="H117" s="7"/>
      <c r="I117" s="7"/>
      <c r="J117" s="7"/>
      <c r="K117" s="7"/>
    </row>
    <row r="118">
      <c r="A118" s="7"/>
      <c r="B118" s="42"/>
      <c r="C118" s="9"/>
      <c r="D118" s="7"/>
      <c r="E118" s="7"/>
      <c r="F118" s="7"/>
      <c r="G118" s="7"/>
      <c r="H118" s="7"/>
      <c r="I118" s="7"/>
      <c r="J118" s="7"/>
      <c r="K118" s="7"/>
    </row>
    <row r="119">
      <c r="A119" s="7"/>
      <c r="B119" s="42"/>
      <c r="C119" s="9"/>
      <c r="D119" s="7"/>
      <c r="E119" s="7"/>
      <c r="F119" s="7"/>
      <c r="G119" s="7"/>
      <c r="H119" s="7"/>
      <c r="I119" s="7"/>
      <c r="J119" s="7"/>
      <c r="K119" s="7"/>
    </row>
    <row r="120">
      <c r="A120" s="7"/>
      <c r="B120" s="42"/>
      <c r="C120" s="9"/>
      <c r="D120" s="7"/>
      <c r="E120" s="7"/>
      <c r="F120" s="7"/>
      <c r="G120" s="7"/>
      <c r="H120" s="7"/>
      <c r="I120" s="7"/>
      <c r="J120" s="7"/>
      <c r="K120" s="7"/>
    </row>
    <row r="121">
      <c r="A121" s="7"/>
      <c r="B121" s="42"/>
      <c r="C121" s="9"/>
      <c r="D121" s="7"/>
      <c r="E121" s="7"/>
      <c r="F121" s="7"/>
      <c r="G121" s="7"/>
      <c r="H121" s="7"/>
      <c r="I121" s="7"/>
      <c r="J121" s="7"/>
      <c r="K121" s="7"/>
    </row>
    <row r="122">
      <c r="A122" s="7"/>
      <c r="B122" s="42"/>
      <c r="C122" s="9"/>
      <c r="D122" s="7"/>
      <c r="E122" s="7"/>
      <c r="F122" s="7"/>
      <c r="G122" s="7"/>
      <c r="H122" s="7"/>
      <c r="I122" s="7"/>
      <c r="J122" s="7"/>
      <c r="K122" s="7"/>
    </row>
    <row r="123">
      <c r="A123" s="7"/>
      <c r="B123" s="42"/>
      <c r="C123" s="9"/>
      <c r="D123" s="7"/>
      <c r="E123" s="7"/>
      <c r="F123" s="7"/>
      <c r="G123" s="7"/>
      <c r="H123" s="7"/>
      <c r="I123" s="7"/>
      <c r="J123" s="7"/>
      <c r="K123" s="7"/>
    </row>
    <row r="124">
      <c r="A124" s="7"/>
      <c r="B124" s="42"/>
      <c r="C124" s="9"/>
      <c r="D124" s="7"/>
      <c r="E124" s="7"/>
      <c r="F124" s="7"/>
      <c r="G124" s="7"/>
      <c r="H124" s="7"/>
      <c r="I124" s="7"/>
      <c r="J124" s="7"/>
      <c r="K124" s="7"/>
    </row>
    <row r="125">
      <c r="A125" s="7"/>
      <c r="B125" s="42"/>
      <c r="C125" s="9"/>
      <c r="D125" s="7"/>
      <c r="E125" s="7"/>
      <c r="F125" s="7"/>
      <c r="G125" s="7"/>
      <c r="H125" s="7"/>
      <c r="I125" s="7"/>
      <c r="J125" s="7"/>
      <c r="K125" s="7"/>
    </row>
    <row r="126">
      <c r="A126" s="7"/>
      <c r="B126" s="42"/>
      <c r="C126" s="9"/>
      <c r="D126" s="7"/>
      <c r="E126" s="7"/>
      <c r="F126" s="7"/>
      <c r="G126" s="7"/>
      <c r="H126" s="7"/>
      <c r="I126" s="7"/>
      <c r="J126" s="7"/>
      <c r="K126" s="7"/>
    </row>
    <row r="127">
      <c r="A127" s="7"/>
      <c r="B127" s="42"/>
      <c r="C127" s="9"/>
      <c r="D127" s="7"/>
      <c r="E127" s="7"/>
      <c r="F127" s="7"/>
      <c r="G127" s="7"/>
      <c r="H127" s="7"/>
      <c r="I127" s="7"/>
      <c r="J127" s="7"/>
      <c r="K127" s="7"/>
    </row>
    <row r="128">
      <c r="A128" s="7"/>
      <c r="B128" s="42"/>
      <c r="C128" s="9"/>
      <c r="D128" s="7"/>
      <c r="E128" s="7"/>
      <c r="F128" s="7"/>
      <c r="G128" s="7"/>
      <c r="H128" s="7"/>
      <c r="I128" s="7"/>
      <c r="J128" s="7"/>
      <c r="K128" s="7"/>
    </row>
    <row r="129">
      <c r="A129" s="7"/>
      <c r="B129" s="42"/>
      <c r="C129" s="9"/>
      <c r="D129" s="7"/>
      <c r="E129" s="7"/>
      <c r="F129" s="7"/>
      <c r="G129" s="7"/>
      <c r="H129" s="7"/>
      <c r="I129" s="7"/>
      <c r="J129" s="7"/>
      <c r="K129" s="7"/>
    </row>
    <row r="130">
      <c r="A130" s="7"/>
      <c r="B130" s="42"/>
      <c r="C130" s="9"/>
      <c r="D130" s="7"/>
      <c r="E130" s="7"/>
      <c r="F130" s="7"/>
      <c r="G130" s="7"/>
      <c r="H130" s="7"/>
      <c r="I130" s="7"/>
      <c r="J130" s="7"/>
      <c r="K130" s="7"/>
    </row>
    <row r="131">
      <c r="A131" s="7"/>
      <c r="B131" s="42"/>
      <c r="C131" s="9"/>
      <c r="D131" s="7"/>
      <c r="E131" s="7"/>
      <c r="F131" s="7"/>
      <c r="G131" s="7"/>
      <c r="H131" s="7"/>
      <c r="I131" s="7"/>
      <c r="J131" s="7"/>
      <c r="K131" s="7"/>
    </row>
    <row r="132">
      <c r="A132" s="7"/>
      <c r="B132" s="42"/>
      <c r="C132" s="9"/>
      <c r="D132" s="7"/>
      <c r="E132" s="7"/>
      <c r="F132" s="7"/>
      <c r="G132" s="7"/>
      <c r="H132" s="7"/>
      <c r="I132" s="7"/>
      <c r="J132" s="7"/>
      <c r="K132" s="7"/>
    </row>
    <row r="133">
      <c r="A133" s="7"/>
      <c r="B133" s="42"/>
      <c r="C133" s="9"/>
      <c r="D133" s="7"/>
      <c r="E133" s="7"/>
      <c r="F133" s="7"/>
      <c r="G133" s="7"/>
      <c r="H133" s="7"/>
      <c r="I133" s="7"/>
      <c r="J133" s="7"/>
      <c r="K133" s="7"/>
    </row>
    <row r="134">
      <c r="A134" s="7"/>
      <c r="B134" s="42"/>
      <c r="C134" s="9"/>
      <c r="D134" s="7"/>
      <c r="E134" s="7"/>
      <c r="F134" s="7"/>
      <c r="G134" s="7"/>
      <c r="H134" s="7"/>
      <c r="I134" s="7"/>
      <c r="J134" s="7"/>
      <c r="K134" s="7"/>
    </row>
    <row r="135">
      <c r="A135" s="7"/>
      <c r="B135" s="42"/>
      <c r="C135" s="9"/>
      <c r="D135" s="7"/>
      <c r="E135" s="7"/>
      <c r="F135" s="7"/>
      <c r="G135" s="7"/>
      <c r="H135" s="7"/>
      <c r="I135" s="7"/>
      <c r="J135" s="7"/>
      <c r="K135" s="7"/>
    </row>
    <row r="136">
      <c r="A136" s="7"/>
      <c r="B136" s="42"/>
      <c r="C136" s="9"/>
      <c r="D136" s="7"/>
      <c r="E136" s="7"/>
      <c r="F136" s="7"/>
      <c r="G136" s="7"/>
      <c r="H136" s="7"/>
      <c r="I136" s="7"/>
      <c r="J136" s="7"/>
      <c r="K136" s="7"/>
    </row>
    <row r="137">
      <c r="A137" s="7"/>
      <c r="B137" s="42"/>
      <c r="C137" s="9"/>
      <c r="D137" s="7"/>
      <c r="E137" s="7"/>
      <c r="F137" s="7"/>
      <c r="G137" s="7"/>
      <c r="H137" s="7"/>
      <c r="I137" s="7"/>
      <c r="J137" s="7"/>
      <c r="K137" s="7"/>
    </row>
    <row r="138">
      <c r="A138" s="7"/>
      <c r="B138" s="42"/>
      <c r="C138" s="9"/>
      <c r="D138" s="7"/>
      <c r="E138" s="7"/>
      <c r="F138" s="7"/>
      <c r="G138" s="7"/>
      <c r="H138" s="7"/>
      <c r="I138" s="7"/>
      <c r="J138" s="7"/>
      <c r="K138" s="7"/>
    </row>
    <row r="139">
      <c r="A139" s="7"/>
      <c r="B139" s="42"/>
      <c r="C139" s="9"/>
      <c r="D139" s="7"/>
      <c r="E139" s="7"/>
      <c r="F139" s="7"/>
      <c r="G139" s="7"/>
      <c r="H139" s="7"/>
      <c r="I139" s="7"/>
      <c r="J139" s="7"/>
      <c r="K139" s="7"/>
    </row>
    <row r="140">
      <c r="A140" s="7"/>
      <c r="B140" s="42"/>
      <c r="C140" s="9"/>
      <c r="D140" s="7"/>
      <c r="E140" s="7"/>
      <c r="F140" s="7"/>
      <c r="G140" s="7"/>
      <c r="H140" s="7"/>
      <c r="I140" s="7"/>
      <c r="J140" s="7"/>
      <c r="K140" s="7"/>
    </row>
    <row r="141">
      <c r="A141" s="7"/>
      <c r="B141" s="42"/>
      <c r="C141" s="9"/>
      <c r="D141" s="7"/>
      <c r="E141" s="7"/>
      <c r="F141" s="7"/>
      <c r="G141" s="7"/>
      <c r="H141" s="7"/>
      <c r="I141" s="7"/>
      <c r="J141" s="7"/>
      <c r="K141" s="7"/>
    </row>
    <row r="142">
      <c r="A142" s="7"/>
      <c r="B142" s="42"/>
      <c r="C142" s="9"/>
      <c r="D142" s="7"/>
      <c r="E142" s="7"/>
      <c r="F142" s="7"/>
      <c r="G142" s="7"/>
      <c r="H142" s="7"/>
      <c r="I142" s="7"/>
      <c r="J142" s="7"/>
      <c r="K142" s="7"/>
    </row>
    <row r="143">
      <c r="A143" s="7"/>
      <c r="B143" s="42"/>
      <c r="C143" s="9"/>
      <c r="D143" s="7"/>
      <c r="E143" s="7"/>
      <c r="F143" s="7"/>
      <c r="G143" s="7"/>
      <c r="H143" s="7"/>
      <c r="I143" s="7"/>
      <c r="J143" s="7"/>
      <c r="K143" s="7"/>
    </row>
    <row r="144">
      <c r="A144" s="7"/>
      <c r="B144" s="42"/>
      <c r="C144" s="9"/>
      <c r="D144" s="7"/>
      <c r="E144" s="7"/>
      <c r="F144" s="7"/>
      <c r="G144" s="7"/>
      <c r="H144" s="7"/>
      <c r="I144" s="7"/>
      <c r="J144" s="7"/>
      <c r="K144" s="7"/>
    </row>
    <row r="145">
      <c r="A145" s="7"/>
      <c r="B145" s="42"/>
      <c r="C145" s="9"/>
      <c r="D145" s="7"/>
      <c r="E145" s="7"/>
      <c r="F145" s="7"/>
      <c r="G145" s="7"/>
      <c r="H145" s="7"/>
      <c r="I145" s="7"/>
      <c r="J145" s="7"/>
      <c r="K145" s="7"/>
    </row>
    <row r="146">
      <c r="A146" s="7"/>
      <c r="B146" s="42"/>
      <c r="C146" s="9"/>
      <c r="D146" s="7"/>
      <c r="E146" s="7"/>
      <c r="F146" s="7"/>
      <c r="G146" s="7"/>
      <c r="H146" s="7"/>
      <c r="I146" s="7"/>
      <c r="J146" s="7"/>
      <c r="K146" s="7"/>
    </row>
    <row r="147">
      <c r="A147" s="7"/>
      <c r="B147" s="42"/>
      <c r="C147" s="9"/>
      <c r="D147" s="7"/>
      <c r="E147" s="7"/>
      <c r="F147" s="7"/>
      <c r="G147" s="7"/>
      <c r="H147" s="7"/>
      <c r="I147" s="7"/>
      <c r="J147" s="7"/>
      <c r="K147" s="7"/>
    </row>
    <row r="148">
      <c r="A148" s="7"/>
      <c r="B148" s="42"/>
      <c r="C148" s="9"/>
      <c r="D148" s="7"/>
      <c r="E148" s="7"/>
      <c r="F148" s="7"/>
      <c r="G148" s="7"/>
      <c r="H148" s="7"/>
      <c r="I148" s="7"/>
      <c r="J148" s="7"/>
      <c r="K148" s="7"/>
    </row>
    <row r="149">
      <c r="A149" s="7"/>
      <c r="B149" s="42"/>
      <c r="C149" s="9"/>
      <c r="D149" s="7"/>
      <c r="E149" s="7"/>
      <c r="F149" s="7"/>
      <c r="G149" s="7"/>
      <c r="H149" s="7"/>
      <c r="I149" s="7"/>
      <c r="J149" s="7"/>
      <c r="K149" s="7"/>
    </row>
    <row r="150">
      <c r="A150" s="7"/>
      <c r="B150" s="42"/>
      <c r="C150" s="9"/>
      <c r="D150" s="7"/>
      <c r="E150" s="7"/>
      <c r="F150" s="7"/>
      <c r="G150" s="7"/>
      <c r="H150" s="7"/>
      <c r="I150" s="7"/>
      <c r="J150" s="7"/>
      <c r="K150" s="7"/>
    </row>
    <row r="151">
      <c r="A151" s="7"/>
      <c r="B151" s="42"/>
      <c r="C151" s="9"/>
      <c r="D151" s="7"/>
      <c r="E151" s="7"/>
      <c r="F151" s="7"/>
      <c r="G151" s="7"/>
      <c r="H151" s="7"/>
      <c r="I151" s="7"/>
      <c r="J151" s="7"/>
      <c r="K151" s="7"/>
    </row>
    <row r="152">
      <c r="A152" s="7"/>
      <c r="B152" s="42"/>
      <c r="C152" s="9"/>
      <c r="D152" s="7"/>
      <c r="E152" s="7"/>
      <c r="F152" s="7"/>
      <c r="G152" s="7"/>
      <c r="H152" s="7"/>
      <c r="I152" s="7"/>
      <c r="J152" s="7"/>
      <c r="K152" s="7"/>
    </row>
    <row r="153">
      <c r="A153" s="7"/>
      <c r="B153" s="42"/>
      <c r="C153" s="9"/>
      <c r="D153" s="7"/>
      <c r="E153" s="7"/>
      <c r="F153" s="7"/>
      <c r="G153" s="7"/>
      <c r="H153" s="7"/>
      <c r="I153" s="7"/>
      <c r="J153" s="7"/>
      <c r="K153" s="7"/>
    </row>
    <row r="154">
      <c r="A154" s="7"/>
      <c r="B154" s="42"/>
      <c r="C154" s="9"/>
      <c r="D154" s="7"/>
      <c r="E154" s="7"/>
      <c r="F154" s="7"/>
      <c r="G154" s="7"/>
      <c r="H154" s="7"/>
      <c r="I154" s="7"/>
      <c r="J154" s="7"/>
      <c r="K154" s="7"/>
    </row>
    <row r="155">
      <c r="A155" s="7"/>
      <c r="B155" s="42"/>
      <c r="C155" s="9"/>
      <c r="D155" s="7"/>
      <c r="E155" s="7"/>
      <c r="F155" s="7"/>
      <c r="G155" s="7"/>
      <c r="H155" s="7"/>
      <c r="I155" s="7"/>
      <c r="J155" s="7"/>
      <c r="K155" s="7"/>
    </row>
    <row r="156">
      <c r="A156" s="7"/>
      <c r="B156" s="42"/>
      <c r="C156" s="9"/>
      <c r="D156" s="7"/>
      <c r="E156" s="7"/>
      <c r="F156" s="7"/>
      <c r="G156" s="7"/>
      <c r="H156" s="7"/>
      <c r="I156" s="7"/>
      <c r="J156" s="7"/>
      <c r="K156" s="7"/>
    </row>
    <row r="157">
      <c r="A157" s="7"/>
      <c r="B157" s="42"/>
      <c r="C157" s="9"/>
      <c r="D157" s="7"/>
      <c r="E157" s="7"/>
      <c r="F157" s="7"/>
      <c r="G157" s="7"/>
      <c r="H157" s="7"/>
      <c r="I157" s="7"/>
      <c r="J157" s="7"/>
      <c r="K157" s="7"/>
    </row>
    <row r="158">
      <c r="A158" s="7"/>
      <c r="B158" s="42"/>
      <c r="C158" s="9"/>
      <c r="D158" s="7"/>
      <c r="E158" s="7"/>
      <c r="F158" s="7"/>
      <c r="G158" s="7"/>
      <c r="H158" s="7"/>
      <c r="I158" s="7"/>
      <c r="J158" s="7"/>
      <c r="K158" s="7"/>
    </row>
    <row r="159">
      <c r="A159" s="7"/>
      <c r="B159" s="42"/>
      <c r="C159" s="9"/>
      <c r="D159" s="7"/>
      <c r="E159" s="7"/>
      <c r="F159" s="7"/>
      <c r="G159" s="7"/>
      <c r="H159" s="7"/>
      <c r="I159" s="7"/>
      <c r="J159" s="7"/>
      <c r="K159" s="7"/>
    </row>
    <row r="160">
      <c r="A160" s="7"/>
      <c r="B160" s="42"/>
      <c r="C160" s="9"/>
      <c r="D160" s="7"/>
      <c r="E160" s="7"/>
      <c r="F160" s="7"/>
      <c r="G160" s="7"/>
      <c r="H160" s="7"/>
      <c r="I160" s="7"/>
      <c r="J160" s="7"/>
      <c r="K160" s="7"/>
    </row>
    <row r="161">
      <c r="A161" s="7"/>
      <c r="B161" s="42"/>
      <c r="C161" s="9"/>
      <c r="D161" s="7"/>
      <c r="E161" s="7"/>
      <c r="F161" s="7"/>
      <c r="G161" s="7"/>
      <c r="H161" s="7"/>
      <c r="I161" s="7"/>
      <c r="J161" s="7"/>
      <c r="K161" s="7"/>
    </row>
    <row r="162">
      <c r="A162" s="7"/>
      <c r="B162" s="42"/>
      <c r="C162" s="9"/>
      <c r="D162" s="7"/>
      <c r="E162" s="7"/>
      <c r="F162" s="7"/>
      <c r="G162" s="7"/>
      <c r="H162" s="7"/>
      <c r="I162" s="7"/>
      <c r="J162" s="7"/>
      <c r="K162" s="7"/>
    </row>
    <row r="163">
      <c r="A163" s="7"/>
      <c r="B163" s="42"/>
      <c r="C163" s="9"/>
      <c r="D163" s="7"/>
      <c r="E163" s="7"/>
      <c r="F163" s="7"/>
      <c r="G163" s="7"/>
      <c r="H163" s="7"/>
      <c r="I163" s="7"/>
      <c r="J163" s="7"/>
      <c r="K163" s="7"/>
    </row>
    <row r="164">
      <c r="A164" s="7"/>
      <c r="B164" s="42"/>
      <c r="C164" s="9"/>
      <c r="D164" s="7"/>
      <c r="E164" s="7"/>
      <c r="F164" s="7"/>
      <c r="G164" s="7"/>
      <c r="H164" s="7"/>
      <c r="I164" s="7"/>
      <c r="J164" s="7"/>
      <c r="K164" s="7"/>
    </row>
    <row r="165">
      <c r="A165" s="7"/>
      <c r="B165" s="42"/>
      <c r="C165" s="9"/>
      <c r="D165" s="7"/>
      <c r="E165" s="7"/>
      <c r="F165" s="7"/>
      <c r="G165" s="7"/>
      <c r="H165" s="7"/>
      <c r="I165" s="7"/>
      <c r="J165" s="7"/>
      <c r="K165" s="7"/>
    </row>
    <row r="166">
      <c r="A166" s="7"/>
      <c r="B166" s="42"/>
      <c r="C166" s="9"/>
      <c r="D166" s="7"/>
      <c r="E166" s="7"/>
      <c r="F166" s="7"/>
      <c r="G166" s="7"/>
      <c r="H166" s="7"/>
      <c r="I166" s="7"/>
      <c r="J166" s="7"/>
      <c r="K166" s="7"/>
    </row>
    <row r="167">
      <c r="A167" s="7"/>
      <c r="B167" s="42"/>
      <c r="C167" s="9"/>
      <c r="D167" s="7"/>
      <c r="E167" s="7"/>
      <c r="F167" s="7"/>
      <c r="G167" s="7"/>
      <c r="H167" s="7"/>
      <c r="I167" s="7"/>
      <c r="J167" s="7"/>
      <c r="K167" s="7"/>
    </row>
    <row r="168">
      <c r="A168" s="7"/>
      <c r="B168" s="42"/>
      <c r="C168" s="9"/>
      <c r="D168" s="7"/>
      <c r="E168" s="7"/>
      <c r="F168" s="7"/>
      <c r="G168" s="7"/>
      <c r="H168" s="7"/>
      <c r="I168" s="7"/>
      <c r="J168" s="7"/>
      <c r="K168" s="7"/>
    </row>
    <row r="169">
      <c r="A169" s="7"/>
      <c r="B169" s="42"/>
      <c r="C169" s="9"/>
      <c r="D169" s="7"/>
      <c r="E169" s="7"/>
      <c r="F169" s="7"/>
      <c r="G169" s="7"/>
      <c r="H169" s="7"/>
      <c r="I169" s="7"/>
      <c r="J169" s="7"/>
      <c r="K169" s="7"/>
    </row>
    <row r="170">
      <c r="A170" s="7"/>
      <c r="B170" s="42"/>
      <c r="C170" s="9"/>
      <c r="D170" s="7"/>
      <c r="E170" s="7"/>
      <c r="F170" s="7"/>
      <c r="G170" s="7"/>
      <c r="H170" s="7"/>
      <c r="I170" s="7"/>
      <c r="J170" s="7"/>
      <c r="K170" s="7"/>
    </row>
    <row r="171">
      <c r="A171" s="7"/>
      <c r="B171" s="42"/>
      <c r="C171" s="9"/>
      <c r="D171" s="7"/>
      <c r="E171" s="7"/>
      <c r="F171" s="7"/>
      <c r="G171" s="7"/>
      <c r="H171" s="7"/>
      <c r="I171" s="7"/>
      <c r="J171" s="7"/>
      <c r="K171" s="7"/>
    </row>
    <row r="172">
      <c r="A172" s="7"/>
      <c r="B172" s="42"/>
      <c r="C172" s="9"/>
      <c r="D172" s="7"/>
      <c r="E172" s="7"/>
      <c r="F172" s="7"/>
      <c r="G172" s="7"/>
      <c r="H172" s="7"/>
      <c r="I172" s="7"/>
      <c r="J172" s="7"/>
      <c r="K172" s="7"/>
    </row>
    <row r="173">
      <c r="A173" s="7"/>
      <c r="B173" s="42"/>
      <c r="C173" s="9"/>
      <c r="D173" s="7"/>
      <c r="E173" s="7"/>
      <c r="F173" s="7"/>
      <c r="G173" s="7"/>
      <c r="H173" s="7"/>
      <c r="I173" s="7"/>
      <c r="J173" s="7"/>
      <c r="K173" s="7"/>
    </row>
    <row r="174">
      <c r="A174" s="7"/>
      <c r="B174" s="42"/>
      <c r="C174" s="9"/>
      <c r="D174" s="7"/>
      <c r="E174" s="7"/>
      <c r="F174" s="7"/>
      <c r="G174" s="7"/>
      <c r="H174" s="7"/>
      <c r="I174" s="7"/>
      <c r="J174" s="7"/>
      <c r="K174" s="7"/>
    </row>
    <row r="175">
      <c r="A175" s="7"/>
      <c r="B175" s="42"/>
      <c r="C175" s="9"/>
      <c r="D175" s="7"/>
      <c r="E175" s="7"/>
      <c r="F175" s="7"/>
      <c r="G175" s="7"/>
      <c r="H175" s="7"/>
      <c r="I175" s="7"/>
      <c r="J175" s="7"/>
      <c r="K175" s="7"/>
    </row>
    <row r="176">
      <c r="A176" s="7"/>
      <c r="B176" s="42"/>
      <c r="C176" s="9"/>
      <c r="D176" s="7"/>
      <c r="E176" s="7"/>
      <c r="F176" s="7"/>
      <c r="G176" s="7"/>
      <c r="H176" s="7"/>
      <c r="I176" s="7"/>
      <c r="J176" s="7"/>
      <c r="K176" s="7"/>
    </row>
    <row r="177">
      <c r="A177" s="7"/>
      <c r="B177" s="42"/>
      <c r="C177" s="9"/>
      <c r="D177" s="7"/>
      <c r="E177" s="7"/>
      <c r="F177" s="7"/>
      <c r="G177" s="7"/>
      <c r="H177" s="7"/>
      <c r="I177" s="7"/>
      <c r="J177" s="7"/>
      <c r="K177" s="7"/>
    </row>
    <row r="178">
      <c r="A178" s="7"/>
      <c r="B178" s="42"/>
      <c r="C178" s="9"/>
      <c r="D178" s="7"/>
      <c r="E178" s="7"/>
      <c r="F178" s="7"/>
      <c r="G178" s="7"/>
      <c r="H178" s="7"/>
      <c r="I178" s="7"/>
      <c r="J178" s="7"/>
      <c r="K178" s="7"/>
    </row>
    <row r="179">
      <c r="A179" s="7"/>
      <c r="B179" s="42"/>
      <c r="C179" s="9"/>
      <c r="D179" s="7"/>
      <c r="E179" s="7"/>
      <c r="F179" s="7"/>
      <c r="G179" s="7"/>
      <c r="H179" s="7"/>
      <c r="I179" s="7"/>
      <c r="J179" s="7"/>
      <c r="K179" s="7"/>
    </row>
    <row r="180">
      <c r="A180" s="7"/>
      <c r="B180" s="42"/>
      <c r="C180" s="9"/>
      <c r="D180" s="7"/>
      <c r="E180" s="7"/>
      <c r="F180" s="7"/>
      <c r="G180" s="7"/>
      <c r="H180" s="7"/>
      <c r="I180" s="7"/>
      <c r="J180" s="7"/>
      <c r="K180" s="7"/>
    </row>
    <row r="181">
      <c r="A181" s="7"/>
      <c r="B181" s="42"/>
      <c r="C181" s="9"/>
      <c r="D181" s="7"/>
      <c r="E181" s="7"/>
      <c r="F181" s="7"/>
      <c r="G181" s="7"/>
      <c r="H181" s="7"/>
      <c r="I181" s="7"/>
      <c r="J181" s="7"/>
      <c r="K181" s="7"/>
    </row>
    <row r="182">
      <c r="A182" s="7"/>
      <c r="B182" s="42"/>
      <c r="C182" s="9"/>
      <c r="D182" s="7"/>
      <c r="E182" s="7"/>
      <c r="F182" s="7"/>
      <c r="G182" s="7"/>
      <c r="H182" s="7"/>
      <c r="I182" s="7"/>
      <c r="J182" s="7"/>
      <c r="K182" s="7"/>
    </row>
    <row r="183">
      <c r="A183" s="7"/>
      <c r="B183" s="42"/>
      <c r="C183" s="9"/>
      <c r="D183" s="7"/>
      <c r="E183" s="7"/>
      <c r="F183" s="7"/>
      <c r="G183" s="7"/>
      <c r="H183" s="7"/>
      <c r="I183" s="7"/>
      <c r="J183" s="7"/>
      <c r="K183" s="7"/>
    </row>
    <row r="184">
      <c r="A184" s="7"/>
      <c r="B184" s="42"/>
      <c r="C184" s="9"/>
      <c r="D184" s="7"/>
      <c r="E184" s="7"/>
      <c r="F184" s="7"/>
      <c r="G184" s="7"/>
      <c r="H184" s="7"/>
      <c r="I184" s="7"/>
      <c r="J184" s="7"/>
      <c r="K184" s="7"/>
    </row>
    <row r="185">
      <c r="A185" s="7"/>
      <c r="B185" s="42"/>
      <c r="C185" s="9"/>
      <c r="D185" s="7"/>
      <c r="E185" s="7"/>
      <c r="F185" s="7"/>
      <c r="G185" s="7"/>
      <c r="H185" s="7"/>
      <c r="I185" s="7"/>
      <c r="J185" s="7"/>
      <c r="K185" s="7"/>
    </row>
    <row r="186">
      <c r="A186" s="7"/>
      <c r="B186" s="42"/>
      <c r="C186" s="9"/>
      <c r="D186" s="7"/>
      <c r="E186" s="7"/>
      <c r="F186" s="7"/>
      <c r="G186" s="7"/>
      <c r="H186" s="7"/>
      <c r="I186" s="7"/>
      <c r="J186" s="7"/>
      <c r="K186" s="7"/>
    </row>
    <row r="187">
      <c r="A187" s="7"/>
      <c r="B187" s="42"/>
      <c r="C187" s="9"/>
      <c r="D187" s="7"/>
      <c r="E187" s="7"/>
      <c r="F187" s="7"/>
      <c r="G187" s="7"/>
      <c r="H187" s="7"/>
      <c r="I187" s="7"/>
      <c r="J187" s="7"/>
      <c r="K187" s="7"/>
    </row>
    <row r="188">
      <c r="A188" s="7"/>
      <c r="B188" s="42"/>
      <c r="C188" s="9"/>
      <c r="D188" s="7"/>
      <c r="E188" s="7"/>
      <c r="F188" s="7"/>
      <c r="G188" s="7"/>
      <c r="H188" s="7"/>
      <c r="I188" s="7"/>
      <c r="J188" s="7"/>
      <c r="K188" s="7"/>
    </row>
    <row r="189">
      <c r="A189" s="7"/>
      <c r="B189" s="42"/>
      <c r="C189" s="9"/>
      <c r="D189" s="7"/>
      <c r="E189" s="7"/>
      <c r="F189" s="7"/>
      <c r="G189" s="7"/>
      <c r="H189" s="7"/>
      <c r="I189" s="7"/>
      <c r="J189" s="7"/>
      <c r="K189" s="7"/>
    </row>
    <row r="190">
      <c r="A190" s="7"/>
      <c r="B190" s="42"/>
      <c r="C190" s="9"/>
      <c r="D190" s="7"/>
      <c r="E190" s="7"/>
      <c r="F190" s="7"/>
      <c r="G190" s="7"/>
      <c r="H190" s="7"/>
      <c r="I190" s="7"/>
      <c r="J190" s="7"/>
      <c r="K190" s="7"/>
    </row>
    <row r="191">
      <c r="A191" s="7"/>
      <c r="B191" s="42"/>
      <c r="C191" s="9"/>
      <c r="D191" s="7"/>
      <c r="E191" s="7"/>
      <c r="F191" s="7"/>
      <c r="G191" s="7"/>
      <c r="H191" s="7"/>
      <c r="I191" s="7"/>
      <c r="J191" s="7"/>
      <c r="K191" s="7"/>
    </row>
    <row r="192">
      <c r="A192" s="7"/>
      <c r="B192" s="42"/>
      <c r="C192" s="9"/>
      <c r="D192" s="7"/>
      <c r="E192" s="7"/>
      <c r="F192" s="7"/>
      <c r="G192" s="7"/>
      <c r="H192" s="7"/>
      <c r="I192" s="7"/>
      <c r="J192" s="7"/>
      <c r="K192" s="7"/>
    </row>
    <row r="193">
      <c r="A193" s="7"/>
      <c r="B193" s="42"/>
      <c r="C193" s="9"/>
      <c r="D193" s="7"/>
      <c r="E193" s="7"/>
      <c r="F193" s="7"/>
      <c r="G193" s="7"/>
      <c r="H193" s="7"/>
      <c r="I193" s="7"/>
      <c r="J193" s="7"/>
      <c r="K193" s="7"/>
    </row>
    <row r="194">
      <c r="A194" s="7"/>
      <c r="B194" s="42"/>
      <c r="C194" s="9"/>
      <c r="D194" s="7"/>
      <c r="E194" s="7"/>
      <c r="F194" s="7"/>
      <c r="G194" s="7"/>
      <c r="H194" s="7"/>
      <c r="I194" s="7"/>
      <c r="J194" s="7"/>
      <c r="K194" s="7"/>
    </row>
    <row r="195">
      <c r="A195" s="7"/>
      <c r="B195" s="42"/>
      <c r="C195" s="9"/>
      <c r="D195" s="7"/>
      <c r="E195" s="7"/>
      <c r="F195" s="7"/>
      <c r="G195" s="7"/>
      <c r="H195" s="7"/>
      <c r="I195" s="7"/>
      <c r="J195" s="7"/>
      <c r="K195" s="7"/>
    </row>
    <row r="196">
      <c r="A196" s="7"/>
      <c r="B196" s="42"/>
      <c r="C196" s="9"/>
      <c r="D196" s="7"/>
      <c r="E196" s="7"/>
      <c r="F196" s="7"/>
      <c r="G196" s="7"/>
      <c r="H196" s="7"/>
      <c r="I196" s="7"/>
      <c r="J196" s="7"/>
      <c r="K196" s="7"/>
    </row>
    <row r="197">
      <c r="A197" s="7"/>
      <c r="B197" s="42"/>
      <c r="C197" s="9"/>
      <c r="D197" s="7"/>
      <c r="E197" s="7"/>
      <c r="F197" s="7"/>
      <c r="G197" s="7"/>
      <c r="H197" s="7"/>
      <c r="I197" s="7"/>
      <c r="J197" s="7"/>
      <c r="K197" s="7"/>
    </row>
    <row r="198">
      <c r="A198" s="7"/>
      <c r="B198" s="42"/>
      <c r="C198" s="9"/>
      <c r="D198" s="7"/>
      <c r="E198" s="7"/>
      <c r="F198" s="7"/>
      <c r="G198" s="7"/>
      <c r="H198" s="7"/>
      <c r="I198" s="7"/>
      <c r="J198" s="7"/>
      <c r="K198" s="7"/>
    </row>
    <row r="199">
      <c r="A199" s="7"/>
      <c r="B199" s="42"/>
      <c r="C199" s="9"/>
      <c r="D199" s="7"/>
      <c r="E199" s="7"/>
      <c r="F199" s="7"/>
      <c r="G199" s="7"/>
      <c r="H199" s="7"/>
      <c r="I199" s="7"/>
      <c r="J199" s="7"/>
      <c r="K199" s="7"/>
    </row>
    <row r="200">
      <c r="A200" s="7"/>
      <c r="B200" s="42"/>
      <c r="C200" s="9"/>
      <c r="D200" s="7"/>
      <c r="E200" s="7"/>
      <c r="F200" s="7"/>
      <c r="G200" s="7"/>
      <c r="H200" s="7"/>
      <c r="I200" s="7"/>
      <c r="J200" s="7"/>
      <c r="K200" s="7"/>
    </row>
    <row r="201">
      <c r="A201" s="7"/>
      <c r="B201" s="42"/>
      <c r="C201" s="9"/>
      <c r="D201" s="7"/>
      <c r="E201" s="7"/>
      <c r="F201" s="7"/>
      <c r="G201" s="7"/>
      <c r="H201" s="7"/>
      <c r="I201" s="7"/>
      <c r="J201" s="7"/>
      <c r="K201" s="7"/>
    </row>
    <row r="202">
      <c r="A202" s="7"/>
      <c r="B202" s="42"/>
      <c r="C202" s="9"/>
      <c r="D202" s="7"/>
      <c r="E202" s="7"/>
      <c r="F202" s="7"/>
      <c r="G202" s="7"/>
      <c r="H202" s="7"/>
      <c r="I202" s="7"/>
      <c r="J202" s="7"/>
      <c r="K202" s="7"/>
    </row>
    <row r="203">
      <c r="A203" s="7"/>
      <c r="B203" s="42"/>
      <c r="C203" s="9"/>
      <c r="D203" s="7"/>
      <c r="E203" s="7"/>
      <c r="F203" s="7"/>
      <c r="G203" s="7"/>
      <c r="H203" s="7"/>
      <c r="I203" s="7"/>
      <c r="J203" s="7"/>
      <c r="K203" s="7"/>
    </row>
    <row r="204">
      <c r="A204" s="7"/>
      <c r="B204" s="42"/>
      <c r="C204" s="9"/>
      <c r="D204" s="7"/>
      <c r="E204" s="7"/>
      <c r="F204" s="7"/>
      <c r="G204" s="7"/>
      <c r="H204" s="7"/>
      <c r="I204" s="7"/>
      <c r="J204" s="7"/>
      <c r="K204" s="7"/>
    </row>
    <row r="205">
      <c r="A205" s="7"/>
      <c r="B205" s="42"/>
      <c r="C205" s="9"/>
      <c r="D205" s="7"/>
      <c r="E205" s="7"/>
      <c r="F205" s="7"/>
      <c r="G205" s="7"/>
      <c r="H205" s="7"/>
      <c r="I205" s="7"/>
      <c r="J205" s="7"/>
      <c r="K205" s="7"/>
    </row>
    <row r="206">
      <c r="A206" s="7"/>
      <c r="B206" s="42"/>
      <c r="C206" s="9"/>
      <c r="D206" s="7"/>
      <c r="E206" s="7"/>
      <c r="F206" s="7"/>
      <c r="G206" s="7"/>
      <c r="H206" s="7"/>
      <c r="I206" s="7"/>
      <c r="J206" s="7"/>
      <c r="K206" s="7"/>
    </row>
    <row r="207">
      <c r="A207" s="7"/>
      <c r="B207" s="42"/>
      <c r="C207" s="9"/>
      <c r="D207" s="7"/>
      <c r="E207" s="7"/>
      <c r="F207" s="7"/>
      <c r="G207" s="7"/>
      <c r="H207" s="7"/>
      <c r="I207" s="7"/>
      <c r="J207" s="7"/>
      <c r="K207" s="7"/>
    </row>
    <row r="208">
      <c r="A208" s="7"/>
      <c r="B208" s="42"/>
      <c r="C208" s="9"/>
      <c r="D208" s="7"/>
      <c r="E208" s="7"/>
      <c r="F208" s="7"/>
      <c r="G208" s="7"/>
      <c r="H208" s="7"/>
      <c r="I208" s="7"/>
      <c r="J208" s="7"/>
      <c r="K208" s="7"/>
    </row>
    <row r="209">
      <c r="A209" s="7"/>
      <c r="B209" s="42"/>
      <c r="C209" s="9"/>
      <c r="D209" s="7"/>
      <c r="E209" s="7"/>
      <c r="F209" s="7"/>
      <c r="G209" s="7"/>
      <c r="H209" s="7"/>
      <c r="I209" s="7"/>
      <c r="J209" s="7"/>
      <c r="K209" s="7"/>
    </row>
    <row r="210">
      <c r="A210" s="7"/>
      <c r="B210" s="42"/>
      <c r="C210" s="9"/>
      <c r="D210" s="7"/>
      <c r="E210" s="7"/>
      <c r="F210" s="7"/>
      <c r="G210" s="7"/>
      <c r="H210" s="7"/>
      <c r="I210" s="7"/>
      <c r="J210" s="7"/>
      <c r="K210" s="7"/>
    </row>
    <row r="211">
      <c r="A211" s="7"/>
      <c r="B211" s="42"/>
      <c r="C211" s="9"/>
      <c r="D211" s="7"/>
      <c r="E211" s="7"/>
      <c r="F211" s="7"/>
      <c r="G211" s="7"/>
      <c r="H211" s="7"/>
      <c r="I211" s="7"/>
      <c r="J211" s="7"/>
      <c r="K211" s="7"/>
    </row>
    <row r="212">
      <c r="A212" s="7"/>
      <c r="B212" s="42"/>
      <c r="C212" s="9"/>
      <c r="D212" s="7"/>
      <c r="E212" s="7"/>
      <c r="F212" s="7"/>
      <c r="G212" s="7"/>
      <c r="H212" s="7"/>
      <c r="I212" s="7"/>
      <c r="J212" s="7"/>
      <c r="K212" s="7"/>
    </row>
    <row r="213">
      <c r="A213" s="7"/>
      <c r="B213" s="42"/>
      <c r="C213" s="9"/>
      <c r="D213" s="7"/>
      <c r="E213" s="7"/>
      <c r="F213" s="7"/>
      <c r="G213" s="7"/>
      <c r="H213" s="7"/>
      <c r="I213" s="7"/>
      <c r="J213" s="7"/>
      <c r="K213" s="7"/>
    </row>
    <row r="214">
      <c r="A214" s="7"/>
      <c r="B214" s="42"/>
      <c r="C214" s="9"/>
      <c r="D214" s="7"/>
      <c r="E214" s="7"/>
      <c r="F214" s="7"/>
      <c r="G214" s="7"/>
      <c r="H214" s="7"/>
      <c r="I214" s="7"/>
      <c r="J214" s="7"/>
      <c r="K214" s="7"/>
    </row>
    <row r="215">
      <c r="A215" s="7"/>
      <c r="B215" s="42"/>
      <c r="C215" s="9"/>
      <c r="D215" s="7"/>
      <c r="E215" s="7"/>
      <c r="F215" s="7"/>
      <c r="G215" s="7"/>
      <c r="H215" s="7"/>
      <c r="I215" s="7"/>
      <c r="J215" s="7"/>
      <c r="K215" s="7"/>
    </row>
    <row r="216">
      <c r="A216" s="7"/>
      <c r="B216" s="42"/>
      <c r="C216" s="9"/>
      <c r="D216" s="7"/>
      <c r="E216" s="7"/>
      <c r="F216" s="7"/>
      <c r="G216" s="7"/>
      <c r="H216" s="7"/>
      <c r="I216" s="7"/>
      <c r="J216" s="7"/>
      <c r="K216" s="7"/>
    </row>
    <row r="217">
      <c r="A217" s="7"/>
      <c r="B217" s="42"/>
      <c r="C217" s="9"/>
      <c r="D217" s="7"/>
      <c r="E217" s="7"/>
      <c r="F217" s="7"/>
      <c r="G217" s="7"/>
      <c r="H217" s="7"/>
      <c r="I217" s="7"/>
      <c r="J217" s="7"/>
      <c r="K217" s="7"/>
    </row>
    <row r="218">
      <c r="A218" s="7"/>
      <c r="B218" s="42"/>
      <c r="C218" s="9"/>
      <c r="D218" s="7"/>
      <c r="E218" s="7"/>
      <c r="F218" s="7"/>
      <c r="G218" s="7"/>
      <c r="H218" s="7"/>
      <c r="I218" s="7"/>
      <c r="J218" s="7"/>
      <c r="K218" s="7"/>
    </row>
    <row r="219">
      <c r="A219" s="7"/>
      <c r="B219" s="42"/>
      <c r="C219" s="9"/>
      <c r="D219" s="7"/>
      <c r="E219" s="7"/>
      <c r="F219" s="7"/>
      <c r="G219" s="7"/>
      <c r="H219" s="7"/>
      <c r="I219" s="7"/>
      <c r="J219" s="7"/>
      <c r="K219" s="7"/>
    </row>
    <row r="220">
      <c r="A220" s="7"/>
      <c r="B220" s="42"/>
      <c r="C220" s="9"/>
      <c r="D220" s="7"/>
      <c r="E220" s="7"/>
      <c r="F220" s="7"/>
      <c r="G220" s="7"/>
      <c r="H220" s="7"/>
      <c r="I220" s="7"/>
      <c r="J220" s="7"/>
      <c r="K220" s="7"/>
    </row>
    <row r="221">
      <c r="A221" s="7"/>
      <c r="B221" s="42"/>
      <c r="C221" s="9"/>
      <c r="D221" s="7"/>
      <c r="E221" s="7"/>
      <c r="F221" s="7"/>
      <c r="G221" s="7"/>
      <c r="H221" s="7"/>
      <c r="I221" s="7"/>
      <c r="J221" s="7"/>
      <c r="K221" s="7"/>
    </row>
    <row r="222">
      <c r="A222" s="7"/>
      <c r="B222" s="42"/>
      <c r="C222" s="9"/>
      <c r="D222" s="7"/>
      <c r="E222" s="7"/>
      <c r="F222" s="7"/>
      <c r="G222" s="7"/>
      <c r="H222" s="7"/>
      <c r="I222" s="7"/>
      <c r="J222" s="7"/>
      <c r="K222" s="7"/>
    </row>
    <row r="223">
      <c r="A223" s="7"/>
      <c r="B223" s="42"/>
      <c r="C223" s="9"/>
      <c r="D223" s="7"/>
      <c r="E223" s="7"/>
      <c r="F223" s="7"/>
      <c r="G223" s="7"/>
      <c r="H223" s="7"/>
      <c r="I223" s="7"/>
      <c r="J223" s="7"/>
      <c r="K223" s="7"/>
    </row>
    <row r="224">
      <c r="A224" s="7"/>
      <c r="B224" s="42"/>
      <c r="C224" s="9"/>
      <c r="D224" s="7"/>
      <c r="E224" s="7"/>
      <c r="F224" s="7"/>
      <c r="G224" s="7"/>
      <c r="H224" s="7"/>
      <c r="I224" s="7"/>
      <c r="J224" s="7"/>
      <c r="K224" s="7"/>
    </row>
    <row r="225">
      <c r="A225" s="7"/>
      <c r="B225" s="42"/>
      <c r="C225" s="9"/>
      <c r="D225" s="7"/>
      <c r="E225" s="7"/>
      <c r="F225" s="7"/>
      <c r="G225" s="7"/>
      <c r="H225" s="7"/>
      <c r="I225" s="7"/>
      <c r="J225" s="7"/>
      <c r="K225" s="7"/>
    </row>
    <row r="226">
      <c r="A226" s="7"/>
      <c r="B226" s="42"/>
      <c r="C226" s="9"/>
      <c r="D226" s="7"/>
      <c r="E226" s="7"/>
      <c r="F226" s="7"/>
      <c r="G226" s="7"/>
      <c r="H226" s="7"/>
      <c r="I226" s="7"/>
      <c r="J226" s="7"/>
      <c r="K226" s="7"/>
    </row>
    <row r="227">
      <c r="A227" s="7"/>
      <c r="B227" s="42"/>
      <c r="C227" s="9"/>
      <c r="D227" s="7"/>
      <c r="E227" s="7"/>
      <c r="F227" s="7"/>
      <c r="G227" s="7"/>
      <c r="H227" s="7"/>
      <c r="I227" s="7"/>
      <c r="J227" s="7"/>
      <c r="K227" s="7"/>
    </row>
    <row r="228">
      <c r="A228" s="7"/>
      <c r="B228" s="42"/>
      <c r="C228" s="9"/>
      <c r="D228" s="7"/>
      <c r="E228" s="7"/>
      <c r="F228" s="7"/>
      <c r="G228" s="7"/>
      <c r="H228" s="7"/>
      <c r="I228" s="7"/>
      <c r="J228" s="7"/>
      <c r="K228" s="7"/>
    </row>
    <row r="229">
      <c r="A229" s="7"/>
      <c r="B229" s="42"/>
      <c r="C229" s="9"/>
      <c r="D229" s="7"/>
      <c r="E229" s="7"/>
      <c r="F229" s="7"/>
      <c r="G229" s="7"/>
      <c r="H229" s="7"/>
      <c r="I229" s="7"/>
      <c r="J229" s="7"/>
      <c r="K229" s="7"/>
    </row>
    <row r="230">
      <c r="A230" s="7"/>
      <c r="B230" s="42"/>
      <c r="C230" s="9"/>
      <c r="D230" s="7"/>
      <c r="E230" s="7"/>
      <c r="F230" s="7"/>
      <c r="G230" s="7"/>
      <c r="H230" s="7"/>
      <c r="I230" s="7"/>
      <c r="J230" s="7"/>
      <c r="K230" s="7"/>
    </row>
    <row r="231">
      <c r="A231" s="7"/>
      <c r="B231" s="42"/>
      <c r="C231" s="9"/>
      <c r="D231" s="7"/>
      <c r="E231" s="7"/>
      <c r="F231" s="7"/>
      <c r="G231" s="7"/>
      <c r="H231" s="7"/>
      <c r="I231" s="7"/>
      <c r="J231" s="7"/>
      <c r="K231" s="7"/>
    </row>
    <row r="232">
      <c r="A232" s="7"/>
      <c r="B232" s="42"/>
      <c r="C232" s="9"/>
      <c r="D232" s="7"/>
      <c r="E232" s="7"/>
      <c r="F232" s="7"/>
      <c r="G232" s="7"/>
      <c r="H232" s="7"/>
      <c r="I232" s="7"/>
      <c r="J232" s="7"/>
      <c r="K232" s="7"/>
    </row>
    <row r="233">
      <c r="A233" s="7"/>
      <c r="B233" s="42"/>
      <c r="C233" s="9"/>
      <c r="D233" s="7"/>
      <c r="E233" s="7"/>
      <c r="F233" s="7"/>
      <c r="G233" s="7"/>
      <c r="H233" s="7"/>
      <c r="I233" s="7"/>
      <c r="J233" s="7"/>
      <c r="K233" s="7"/>
    </row>
    <row r="234">
      <c r="A234" s="7"/>
      <c r="B234" s="42"/>
      <c r="C234" s="9"/>
      <c r="D234" s="7"/>
      <c r="E234" s="7"/>
      <c r="F234" s="7"/>
      <c r="G234" s="7"/>
      <c r="H234" s="7"/>
      <c r="I234" s="7"/>
      <c r="J234" s="7"/>
      <c r="K234" s="7"/>
    </row>
    <row r="235">
      <c r="A235" s="7"/>
      <c r="B235" s="42"/>
      <c r="C235" s="9"/>
      <c r="D235" s="7"/>
      <c r="E235" s="7"/>
      <c r="F235" s="7"/>
      <c r="G235" s="7"/>
      <c r="H235" s="7"/>
      <c r="I235" s="7"/>
      <c r="J235" s="7"/>
      <c r="K235" s="7"/>
    </row>
    <row r="236">
      <c r="A236" s="7"/>
      <c r="B236" s="42"/>
      <c r="C236" s="9"/>
      <c r="D236" s="7"/>
      <c r="E236" s="7"/>
      <c r="F236" s="7"/>
      <c r="G236" s="7"/>
      <c r="H236" s="7"/>
      <c r="I236" s="7"/>
      <c r="J236" s="7"/>
      <c r="K236" s="7"/>
    </row>
    <row r="237">
      <c r="A237" s="7"/>
      <c r="B237" s="42"/>
      <c r="C237" s="9"/>
      <c r="D237" s="7"/>
      <c r="E237" s="7"/>
      <c r="F237" s="7"/>
      <c r="G237" s="7"/>
      <c r="H237" s="7"/>
      <c r="I237" s="7"/>
      <c r="J237" s="7"/>
      <c r="K237" s="7"/>
    </row>
    <row r="238">
      <c r="A238" s="7"/>
      <c r="B238" s="42"/>
      <c r="C238" s="9"/>
      <c r="D238" s="7"/>
      <c r="E238" s="7"/>
      <c r="F238" s="7"/>
      <c r="G238" s="7"/>
      <c r="H238" s="7"/>
      <c r="I238" s="7"/>
      <c r="J238" s="7"/>
      <c r="K238" s="7"/>
    </row>
    <row r="239">
      <c r="A239" s="7"/>
      <c r="B239" s="42"/>
      <c r="C239" s="9"/>
      <c r="D239" s="7"/>
      <c r="E239" s="7"/>
      <c r="F239" s="7"/>
      <c r="G239" s="7"/>
      <c r="H239" s="7"/>
      <c r="I239" s="7"/>
      <c r="J239" s="7"/>
      <c r="K239" s="7"/>
    </row>
    <row r="240">
      <c r="A240" s="7"/>
      <c r="B240" s="42"/>
      <c r="C240" s="9"/>
      <c r="D240" s="7"/>
      <c r="E240" s="7"/>
      <c r="F240" s="7"/>
      <c r="G240" s="7"/>
      <c r="H240" s="7"/>
      <c r="I240" s="7"/>
      <c r="J240" s="7"/>
      <c r="K240" s="7"/>
    </row>
    <row r="241">
      <c r="A241" s="7"/>
      <c r="B241" s="42"/>
      <c r="C241" s="9"/>
      <c r="D241" s="7"/>
      <c r="E241" s="7"/>
      <c r="F241" s="7"/>
      <c r="G241" s="7"/>
      <c r="H241" s="7"/>
      <c r="I241" s="7"/>
      <c r="J241" s="7"/>
      <c r="K241" s="7"/>
    </row>
    <row r="242">
      <c r="A242" s="7"/>
      <c r="B242" s="42"/>
      <c r="C242" s="9"/>
      <c r="D242" s="7"/>
      <c r="E242" s="7"/>
      <c r="F242" s="7"/>
      <c r="G242" s="7"/>
      <c r="H242" s="7"/>
      <c r="I242" s="7"/>
      <c r="J242" s="7"/>
      <c r="K242" s="7"/>
    </row>
    <row r="243">
      <c r="A243" s="7"/>
      <c r="B243" s="42"/>
      <c r="C243" s="9"/>
      <c r="D243" s="7"/>
      <c r="E243" s="7"/>
      <c r="F243" s="7"/>
      <c r="G243" s="7"/>
      <c r="H243" s="7"/>
      <c r="I243" s="7"/>
      <c r="J243" s="7"/>
      <c r="K243" s="7"/>
    </row>
    <row r="244">
      <c r="A244" s="7"/>
      <c r="B244" s="42"/>
      <c r="C244" s="9"/>
      <c r="D244" s="7"/>
      <c r="E244" s="7"/>
      <c r="F244" s="7"/>
      <c r="G244" s="7"/>
      <c r="H244" s="7"/>
      <c r="I244" s="7"/>
      <c r="J244" s="7"/>
      <c r="K244" s="7"/>
    </row>
    <row r="245">
      <c r="A245" s="7"/>
      <c r="B245" s="42"/>
      <c r="C245" s="9"/>
      <c r="D245" s="7"/>
      <c r="E245" s="7"/>
      <c r="F245" s="7"/>
      <c r="G245" s="7"/>
      <c r="H245" s="7"/>
      <c r="I245" s="7"/>
      <c r="J245" s="7"/>
      <c r="K245" s="7"/>
    </row>
    <row r="246">
      <c r="A246" s="7"/>
      <c r="B246" s="42"/>
      <c r="C246" s="9"/>
      <c r="D246" s="7"/>
      <c r="E246" s="7"/>
      <c r="F246" s="7"/>
      <c r="G246" s="7"/>
      <c r="H246" s="7"/>
      <c r="I246" s="7"/>
      <c r="J246" s="7"/>
      <c r="K246" s="7"/>
    </row>
    <row r="247">
      <c r="A247" s="7"/>
      <c r="B247" s="42"/>
      <c r="C247" s="9"/>
      <c r="D247" s="7"/>
      <c r="E247" s="7"/>
      <c r="F247" s="7"/>
      <c r="G247" s="7"/>
      <c r="H247" s="7"/>
      <c r="I247" s="7"/>
      <c r="J247" s="7"/>
      <c r="K247" s="7"/>
    </row>
    <row r="248">
      <c r="A248" s="7"/>
      <c r="B248" s="42"/>
      <c r="C248" s="9"/>
      <c r="D248" s="7"/>
      <c r="E248" s="7"/>
      <c r="F248" s="7"/>
      <c r="G248" s="7"/>
      <c r="H248" s="7"/>
      <c r="I248" s="7"/>
      <c r="J248" s="7"/>
      <c r="K248" s="7"/>
    </row>
    <row r="249">
      <c r="A249" s="7"/>
      <c r="B249" s="42"/>
      <c r="C249" s="9"/>
      <c r="D249" s="7"/>
      <c r="E249" s="7"/>
      <c r="F249" s="7"/>
      <c r="G249" s="7"/>
      <c r="H249" s="7"/>
      <c r="I249" s="7"/>
      <c r="J249" s="7"/>
      <c r="K249" s="7"/>
    </row>
    <row r="250">
      <c r="A250" s="7"/>
      <c r="B250" s="42"/>
      <c r="C250" s="9"/>
      <c r="D250" s="7"/>
      <c r="E250" s="7"/>
      <c r="F250" s="7"/>
      <c r="G250" s="7"/>
      <c r="H250" s="7"/>
      <c r="I250" s="7"/>
      <c r="J250" s="7"/>
      <c r="K250" s="7"/>
    </row>
    <row r="251">
      <c r="A251" s="7"/>
      <c r="B251" s="42"/>
      <c r="C251" s="9"/>
      <c r="D251" s="7"/>
      <c r="E251" s="7"/>
      <c r="F251" s="7"/>
      <c r="G251" s="7"/>
      <c r="H251" s="7"/>
      <c r="I251" s="7"/>
      <c r="J251" s="7"/>
      <c r="K251" s="7"/>
    </row>
    <row r="252">
      <c r="A252" s="7"/>
      <c r="B252" s="42"/>
      <c r="C252" s="9"/>
      <c r="D252" s="7"/>
      <c r="E252" s="7"/>
      <c r="F252" s="7"/>
      <c r="G252" s="7"/>
      <c r="H252" s="7"/>
      <c r="I252" s="7"/>
      <c r="J252" s="7"/>
      <c r="K252" s="7"/>
    </row>
    <row r="253">
      <c r="A253" s="7"/>
      <c r="B253" s="42"/>
      <c r="C253" s="9"/>
      <c r="D253" s="7"/>
      <c r="E253" s="7"/>
      <c r="F253" s="7"/>
      <c r="G253" s="7"/>
      <c r="H253" s="7"/>
      <c r="I253" s="7"/>
      <c r="J253" s="7"/>
      <c r="K253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17.38"/>
    <col customWidth="1" min="3" max="3" width="32.38"/>
    <col customWidth="1" min="4" max="4" width="42.88"/>
    <col customWidth="1" min="5" max="5" width="31.63"/>
    <col customWidth="1" min="6" max="6" width="22.63"/>
    <col customWidth="1" min="7" max="7" width="3.5"/>
  </cols>
  <sheetData>
    <row r="1">
      <c r="A1" s="7"/>
      <c r="B1" s="7"/>
      <c r="C1" s="8"/>
      <c r="D1" s="7"/>
      <c r="E1" s="7"/>
      <c r="F1" s="7"/>
      <c r="G1" s="7"/>
    </row>
    <row r="2">
      <c r="A2" s="7"/>
      <c r="B2" s="7"/>
      <c r="C2" s="24" t="s">
        <v>240</v>
      </c>
      <c r="D2" s="24">
        <f>COUNTA(C5:C253)</f>
        <v>0</v>
      </c>
      <c r="E2" s="7"/>
      <c r="F2" s="7"/>
      <c r="G2" s="7"/>
    </row>
    <row r="3">
      <c r="A3" s="7"/>
      <c r="B3" s="7"/>
      <c r="C3" s="8"/>
      <c r="D3" s="7"/>
      <c r="E3" s="7"/>
      <c r="F3" s="7"/>
      <c r="G3" s="7"/>
    </row>
    <row r="4">
      <c r="A4" s="7"/>
      <c r="B4" s="54" t="s">
        <v>245</v>
      </c>
      <c r="C4" s="54" t="s">
        <v>246</v>
      </c>
      <c r="D4" s="54" t="s">
        <v>247</v>
      </c>
      <c r="E4" s="54" t="s">
        <v>109</v>
      </c>
      <c r="F4" s="54" t="s">
        <v>248</v>
      </c>
      <c r="G4" s="7"/>
    </row>
    <row r="5">
      <c r="A5" s="7"/>
      <c r="B5" s="31"/>
      <c r="C5" s="33"/>
      <c r="D5" s="32"/>
      <c r="E5" s="32"/>
      <c r="F5" s="35"/>
      <c r="G5" s="7"/>
    </row>
    <row r="6">
      <c r="A6" s="7"/>
      <c r="B6" s="31"/>
      <c r="C6" s="9"/>
      <c r="D6" s="9"/>
      <c r="E6" s="9"/>
      <c r="F6" s="9"/>
      <c r="G6" s="7"/>
    </row>
    <row r="7">
      <c r="A7" s="7"/>
      <c r="B7" s="31"/>
      <c r="C7" s="9"/>
      <c r="D7" s="32"/>
      <c r="E7" s="32"/>
      <c r="F7" s="35"/>
      <c r="G7" s="7"/>
    </row>
    <row r="8">
      <c r="A8" s="7"/>
      <c r="B8" s="31"/>
      <c r="C8" s="9"/>
      <c r="D8" s="32"/>
      <c r="E8" s="32"/>
      <c r="F8" s="35"/>
      <c r="G8" s="7"/>
    </row>
    <row r="9">
      <c r="A9" s="7"/>
      <c r="B9" s="31"/>
      <c r="C9" s="9"/>
      <c r="D9" s="32"/>
      <c r="E9" s="32"/>
      <c r="F9" s="35"/>
      <c r="G9" s="7"/>
    </row>
    <row r="10">
      <c r="A10" s="7"/>
      <c r="B10" s="31"/>
      <c r="C10" s="9"/>
      <c r="D10" s="32"/>
      <c r="E10" s="32"/>
      <c r="F10" s="35"/>
      <c r="G10" s="7"/>
    </row>
    <row r="11">
      <c r="A11" s="7"/>
      <c r="B11" s="31"/>
      <c r="C11" s="33"/>
      <c r="D11" s="32"/>
      <c r="E11" s="32"/>
      <c r="F11" s="35"/>
      <c r="G11" s="7"/>
    </row>
    <row r="12">
      <c r="A12" s="7"/>
      <c r="B12" s="31"/>
      <c r="C12" s="33"/>
      <c r="D12" s="32"/>
      <c r="E12" s="32"/>
      <c r="F12" s="35"/>
      <c r="G12" s="7"/>
    </row>
    <row r="13">
      <c r="A13" s="7"/>
      <c r="B13" s="31"/>
      <c r="C13" s="33"/>
      <c r="D13" s="32"/>
      <c r="E13" s="32"/>
      <c r="F13" s="35"/>
      <c r="G13" s="7"/>
    </row>
    <row r="14">
      <c r="A14" s="7"/>
      <c r="B14" s="31"/>
      <c r="C14" s="33"/>
      <c r="D14" s="32"/>
      <c r="E14" s="32"/>
      <c r="F14" s="35"/>
      <c r="G14" s="7"/>
    </row>
    <row r="15">
      <c r="A15" s="7"/>
      <c r="B15" s="31"/>
      <c r="C15" s="33"/>
      <c r="D15" s="32"/>
      <c r="E15" s="32"/>
      <c r="F15" s="38"/>
      <c r="G15" s="7"/>
    </row>
    <row r="16">
      <c r="A16" s="7"/>
      <c r="B16" s="31"/>
      <c r="C16" s="33"/>
      <c r="D16" s="32"/>
      <c r="E16" s="32"/>
      <c r="F16" s="38"/>
      <c r="G16" s="7"/>
    </row>
    <row r="17">
      <c r="A17" s="7"/>
      <c r="B17" s="31"/>
      <c r="C17" s="33"/>
      <c r="D17" s="32"/>
      <c r="E17" s="32"/>
      <c r="F17" s="38"/>
      <c r="G17" s="7"/>
    </row>
    <row r="18">
      <c r="A18" s="7"/>
      <c r="B18" s="31"/>
      <c r="C18" s="33"/>
      <c r="D18" s="32"/>
      <c r="E18" s="32"/>
      <c r="F18" s="38"/>
      <c r="G18" s="7"/>
    </row>
    <row r="19">
      <c r="A19" s="7"/>
      <c r="B19" s="31"/>
      <c r="C19" s="33"/>
      <c r="D19" s="32"/>
      <c r="E19" s="32"/>
      <c r="F19" s="38"/>
      <c r="G19" s="7"/>
    </row>
    <row r="20">
      <c r="A20" s="7"/>
      <c r="B20" s="31"/>
      <c r="C20" s="33"/>
      <c r="D20" s="32"/>
      <c r="E20" s="32"/>
      <c r="F20" s="38"/>
      <c r="G20" s="7"/>
    </row>
    <row r="21">
      <c r="A21" s="7"/>
      <c r="B21" s="31"/>
      <c r="C21" s="33"/>
      <c r="D21" s="32"/>
      <c r="E21" s="32"/>
      <c r="F21" s="38"/>
      <c r="G21" s="7"/>
    </row>
    <row r="22">
      <c r="A22" s="7"/>
      <c r="B22" s="31"/>
      <c r="C22" s="33"/>
      <c r="D22" s="32"/>
      <c r="E22" s="32"/>
      <c r="F22" s="38"/>
      <c r="G22" s="7"/>
    </row>
    <row r="23">
      <c r="A23" s="7"/>
      <c r="B23" s="31"/>
      <c r="C23" s="33"/>
      <c r="D23" s="32"/>
      <c r="E23" s="32"/>
      <c r="F23" s="38"/>
      <c r="G23" s="7"/>
    </row>
    <row r="24">
      <c r="A24" s="7"/>
      <c r="B24" s="31"/>
      <c r="C24" s="33"/>
      <c r="D24" s="32"/>
      <c r="E24" s="32"/>
      <c r="F24" s="38"/>
      <c r="G24" s="7"/>
    </row>
    <row r="25">
      <c r="A25" s="7"/>
      <c r="B25" s="31"/>
      <c r="C25" s="44"/>
      <c r="D25" s="44"/>
      <c r="E25" s="44"/>
      <c r="F25" s="38"/>
      <c r="G25" s="7"/>
    </row>
    <row r="26">
      <c r="A26" s="7"/>
      <c r="B26" s="31"/>
      <c r="C26" s="44"/>
      <c r="D26" s="44"/>
      <c r="E26" s="44"/>
      <c r="F26" s="38"/>
      <c r="G26" s="7"/>
    </row>
    <row r="27">
      <c r="A27" s="7"/>
      <c r="B27" s="31"/>
      <c r="C27" s="33"/>
      <c r="D27" s="32"/>
      <c r="E27" s="32"/>
      <c r="F27" s="38"/>
      <c r="G27" s="7"/>
    </row>
    <row r="28">
      <c r="A28" s="7"/>
      <c r="B28" s="31"/>
      <c r="C28" s="33"/>
      <c r="D28" s="32"/>
      <c r="E28" s="32"/>
      <c r="F28" s="38"/>
      <c r="G28" s="7"/>
    </row>
    <row r="29">
      <c r="A29" s="7"/>
      <c r="B29" s="31"/>
      <c r="C29" s="33"/>
      <c r="D29" s="32"/>
      <c r="E29" s="32"/>
      <c r="F29" s="38"/>
      <c r="G29" s="7"/>
    </row>
    <row r="30">
      <c r="A30" s="7"/>
      <c r="B30" s="31"/>
      <c r="C30" s="33"/>
      <c r="D30" s="32"/>
      <c r="E30" s="32"/>
      <c r="F30" s="38"/>
      <c r="G30" s="7"/>
    </row>
    <row r="31">
      <c r="A31" s="7"/>
      <c r="B31" s="31"/>
      <c r="C31" s="33"/>
      <c r="D31" s="32"/>
      <c r="E31" s="32"/>
      <c r="F31" s="38"/>
      <c r="G31" s="7"/>
    </row>
    <row r="32">
      <c r="A32" s="7"/>
      <c r="B32" s="31"/>
      <c r="C32" s="33"/>
      <c r="D32" s="32"/>
      <c r="E32" s="32"/>
      <c r="F32" s="38"/>
      <c r="G32" s="7"/>
    </row>
    <row r="33">
      <c r="A33" s="7"/>
      <c r="B33" s="31"/>
      <c r="C33" s="33"/>
      <c r="D33" s="32"/>
      <c r="E33" s="32"/>
      <c r="F33" s="38"/>
      <c r="G33" s="7"/>
    </row>
    <row r="34">
      <c r="A34" s="7"/>
      <c r="B34" s="31"/>
      <c r="C34" s="33"/>
      <c r="D34" s="32"/>
      <c r="E34" s="32"/>
      <c r="F34" s="38"/>
      <c r="G34" s="7"/>
    </row>
    <row r="35">
      <c r="A35" s="7"/>
      <c r="B35" s="31"/>
      <c r="C35" s="33"/>
      <c r="D35" s="32"/>
      <c r="E35" s="32"/>
      <c r="F35" s="38"/>
      <c r="G35" s="7"/>
    </row>
    <row r="36">
      <c r="A36" s="7"/>
      <c r="B36" s="31"/>
      <c r="C36" s="33"/>
      <c r="D36" s="32"/>
      <c r="E36" s="32"/>
      <c r="F36" s="38"/>
      <c r="G36" s="7"/>
    </row>
    <row r="37">
      <c r="A37" s="7"/>
      <c r="B37" s="31"/>
      <c r="C37" s="33"/>
      <c r="D37" s="32"/>
      <c r="E37" s="32"/>
      <c r="F37" s="38"/>
      <c r="G37" s="7"/>
    </row>
    <row r="38">
      <c r="A38" s="7"/>
      <c r="B38" s="31"/>
      <c r="C38" s="33"/>
      <c r="D38" s="32"/>
      <c r="E38" s="32"/>
      <c r="F38" s="38"/>
      <c r="G38" s="7"/>
    </row>
    <row r="39">
      <c r="A39" s="7"/>
      <c r="B39" s="31"/>
      <c r="C39" s="33"/>
      <c r="D39" s="32"/>
      <c r="E39" s="32"/>
      <c r="F39" s="38"/>
      <c r="G39" s="7"/>
    </row>
    <row r="40">
      <c r="A40" s="7"/>
      <c r="B40" s="31"/>
      <c r="C40" s="33"/>
      <c r="D40" s="32"/>
      <c r="E40" s="32"/>
      <c r="F40" s="38"/>
      <c r="G40" s="7"/>
    </row>
    <row r="41">
      <c r="A41" s="7"/>
      <c r="B41" s="31"/>
      <c r="C41" s="33"/>
      <c r="D41" s="32"/>
      <c r="E41" s="32"/>
      <c r="F41" s="38"/>
      <c r="G41" s="7"/>
    </row>
    <row r="42">
      <c r="A42" s="7"/>
      <c r="B42" s="31"/>
      <c r="C42" s="33"/>
      <c r="D42" s="32"/>
      <c r="E42" s="32"/>
      <c r="F42" s="38"/>
      <c r="G42" s="7"/>
    </row>
    <row r="43">
      <c r="A43" s="7"/>
      <c r="B43" s="31"/>
      <c r="C43" s="33"/>
      <c r="D43" s="32"/>
      <c r="E43" s="32"/>
      <c r="F43" s="38"/>
      <c r="G43" s="7"/>
    </row>
    <row r="44">
      <c r="A44" s="7"/>
      <c r="B44" s="31"/>
      <c r="C44" s="33"/>
      <c r="D44" s="32"/>
      <c r="E44" s="32"/>
      <c r="F44" s="38"/>
      <c r="G44" s="7"/>
    </row>
    <row r="45">
      <c r="A45" s="7"/>
      <c r="B45" s="31"/>
      <c r="C45" s="33"/>
      <c r="D45" s="32"/>
      <c r="E45" s="32"/>
      <c r="F45" s="38"/>
      <c r="G45" s="7"/>
    </row>
    <row r="46">
      <c r="A46" s="7"/>
      <c r="B46" s="31"/>
      <c r="C46" s="33"/>
      <c r="D46" s="32"/>
      <c r="E46" s="32"/>
      <c r="F46" s="38"/>
      <c r="G46" s="7"/>
    </row>
    <row r="47">
      <c r="A47" s="7"/>
      <c r="B47" s="31"/>
      <c r="C47" s="33"/>
      <c r="D47" s="32"/>
      <c r="E47" s="32"/>
      <c r="F47" s="38"/>
      <c r="G47" s="7"/>
    </row>
    <row r="48">
      <c r="A48" s="7"/>
      <c r="B48" s="31"/>
      <c r="C48" s="33"/>
      <c r="D48" s="32"/>
      <c r="E48" s="32"/>
      <c r="F48" s="38"/>
      <c r="G48" s="7"/>
    </row>
    <row r="49">
      <c r="A49" s="7"/>
      <c r="B49" s="31"/>
      <c r="C49" s="33"/>
      <c r="D49" s="32"/>
      <c r="E49" s="32"/>
      <c r="F49" s="38"/>
      <c r="G49" s="7"/>
    </row>
    <row r="50">
      <c r="A50" s="7"/>
      <c r="B50" s="31"/>
      <c r="C50" s="33"/>
      <c r="D50" s="32"/>
      <c r="E50" s="32"/>
      <c r="F50" s="38"/>
      <c r="G50" s="7"/>
    </row>
    <row r="51">
      <c r="A51" s="7"/>
      <c r="B51" s="31"/>
      <c r="C51" s="33"/>
      <c r="D51" s="32"/>
      <c r="E51" s="32"/>
      <c r="F51" s="38"/>
      <c r="G51" s="7"/>
    </row>
    <row r="52">
      <c r="A52" s="7"/>
      <c r="B52" s="31"/>
      <c r="C52" s="33"/>
      <c r="D52" s="32"/>
      <c r="E52" s="32"/>
      <c r="F52" s="38"/>
      <c r="G52" s="7"/>
    </row>
    <row r="53">
      <c r="A53" s="7"/>
      <c r="B53" s="31"/>
      <c r="C53" s="33"/>
      <c r="D53" s="32"/>
      <c r="E53" s="32"/>
      <c r="F53" s="38"/>
      <c r="G53" s="7"/>
    </row>
    <row r="54">
      <c r="A54" s="7"/>
      <c r="B54" s="31"/>
      <c r="C54" s="33"/>
      <c r="D54" s="32"/>
      <c r="E54" s="32"/>
      <c r="F54" s="38"/>
      <c r="G54" s="7"/>
    </row>
    <row r="55">
      <c r="A55" s="7"/>
      <c r="B55" s="31"/>
      <c r="C55" s="33"/>
      <c r="D55" s="32"/>
      <c r="E55" s="32"/>
      <c r="F55" s="38"/>
      <c r="G55" s="7"/>
    </row>
    <row r="56">
      <c r="A56" s="7"/>
      <c r="B56" s="31"/>
      <c r="C56" s="33"/>
      <c r="D56" s="32"/>
      <c r="E56" s="32"/>
      <c r="F56" s="38"/>
      <c r="G56" s="7"/>
    </row>
    <row r="57">
      <c r="A57" s="7"/>
      <c r="B57" s="42"/>
      <c r="C57" s="9"/>
      <c r="D57" s="7"/>
      <c r="E57" s="7"/>
      <c r="F57" s="42"/>
      <c r="G57" s="7"/>
    </row>
    <row r="58">
      <c r="A58" s="7"/>
      <c r="B58" s="42"/>
      <c r="C58" s="9"/>
      <c r="D58" s="7"/>
      <c r="E58" s="7"/>
      <c r="F58" s="42"/>
      <c r="G58" s="7"/>
    </row>
    <row r="59">
      <c r="A59" s="7"/>
      <c r="B59" s="42"/>
      <c r="C59" s="9"/>
      <c r="D59" s="7"/>
      <c r="E59" s="7"/>
      <c r="F59" s="42"/>
      <c r="G59" s="7"/>
    </row>
    <row r="60">
      <c r="A60" s="7"/>
      <c r="B60" s="42"/>
      <c r="C60" s="9"/>
      <c r="D60" s="7"/>
      <c r="E60" s="7"/>
      <c r="F60" s="42"/>
      <c r="G60" s="7"/>
    </row>
    <row r="61">
      <c r="A61" s="7"/>
      <c r="B61" s="42"/>
      <c r="C61" s="9"/>
      <c r="D61" s="7"/>
      <c r="E61" s="7"/>
      <c r="F61" s="42"/>
      <c r="G61" s="7"/>
    </row>
    <row r="62">
      <c r="A62" s="7"/>
      <c r="B62" s="42"/>
      <c r="C62" s="9"/>
      <c r="D62" s="7"/>
      <c r="E62" s="7"/>
      <c r="F62" s="42"/>
      <c r="G62" s="7"/>
    </row>
    <row r="63">
      <c r="A63" s="7"/>
      <c r="B63" s="42"/>
      <c r="C63" s="9"/>
      <c r="D63" s="7"/>
      <c r="E63" s="7"/>
      <c r="F63" s="42"/>
      <c r="G63" s="7"/>
    </row>
    <row r="64">
      <c r="A64" s="7"/>
      <c r="B64" s="42"/>
      <c r="C64" s="9"/>
      <c r="D64" s="7"/>
      <c r="E64" s="7"/>
      <c r="F64" s="42"/>
      <c r="G64" s="7"/>
    </row>
    <row r="65">
      <c r="A65" s="7"/>
      <c r="B65" s="42"/>
      <c r="C65" s="9"/>
      <c r="D65" s="7"/>
      <c r="E65" s="7"/>
      <c r="F65" s="42"/>
      <c r="G65" s="7"/>
    </row>
    <row r="66">
      <c r="A66" s="7"/>
      <c r="B66" s="42"/>
      <c r="C66" s="9"/>
      <c r="D66" s="7"/>
      <c r="E66" s="7"/>
      <c r="F66" s="42"/>
      <c r="G66" s="7"/>
    </row>
    <row r="67">
      <c r="A67" s="7"/>
      <c r="B67" s="42"/>
      <c r="C67" s="9"/>
      <c r="D67" s="7"/>
      <c r="E67" s="7"/>
      <c r="F67" s="42"/>
      <c r="G67" s="7"/>
    </row>
    <row r="68">
      <c r="A68" s="7"/>
      <c r="B68" s="42"/>
      <c r="C68" s="9"/>
      <c r="D68" s="7"/>
      <c r="E68" s="7"/>
      <c r="F68" s="42"/>
      <c r="G68" s="7"/>
    </row>
    <row r="69">
      <c r="A69" s="7"/>
      <c r="B69" s="42"/>
      <c r="C69" s="9"/>
      <c r="D69" s="7"/>
      <c r="E69" s="7"/>
      <c r="F69" s="42"/>
      <c r="G69" s="7"/>
    </row>
    <row r="70">
      <c r="A70" s="7"/>
      <c r="B70" s="42"/>
      <c r="C70" s="9"/>
      <c r="D70" s="7"/>
      <c r="E70" s="7"/>
      <c r="F70" s="42"/>
      <c r="G70" s="7"/>
    </row>
    <row r="71">
      <c r="A71" s="7"/>
      <c r="B71" s="42"/>
      <c r="C71" s="9"/>
      <c r="D71" s="7"/>
      <c r="E71" s="7"/>
      <c r="F71" s="42"/>
      <c r="G71" s="7"/>
    </row>
    <row r="72">
      <c r="A72" s="7"/>
      <c r="B72" s="42"/>
      <c r="C72" s="9"/>
      <c r="D72" s="7"/>
      <c r="E72" s="7"/>
      <c r="F72" s="42"/>
      <c r="G72" s="7"/>
    </row>
    <row r="73">
      <c r="A73" s="7"/>
      <c r="B73" s="42"/>
      <c r="C73" s="9"/>
      <c r="D73" s="7"/>
      <c r="E73" s="7"/>
      <c r="F73" s="42"/>
      <c r="G73" s="7"/>
    </row>
    <row r="74">
      <c r="A74" s="7"/>
      <c r="B74" s="42"/>
      <c r="C74" s="9"/>
      <c r="D74" s="7"/>
      <c r="E74" s="7"/>
      <c r="F74" s="42"/>
      <c r="G74" s="7"/>
    </row>
    <row r="75">
      <c r="A75" s="7"/>
      <c r="B75" s="42"/>
      <c r="C75" s="9"/>
      <c r="D75" s="7"/>
      <c r="E75" s="7"/>
      <c r="F75" s="42"/>
      <c r="G75" s="7"/>
    </row>
    <row r="76">
      <c r="A76" s="7"/>
      <c r="B76" s="42"/>
      <c r="C76" s="9"/>
      <c r="D76" s="7"/>
      <c r="E76" s="7"/>
      <c r="F76" s="42"/>
      <c r="G76" s="7"/>
    </row>
    <row r="77">
      <c r="A77" s="7"/>
      <c r="B77" s="42"/>
      <c r="C77" s="9"/>
      <c r="D77" s="7"/>
      <c r="E77" s="7"/>
      <c r="F77" s="42"/>
      <c r="G77" s="7"/>
    </row>
    <row r="78">
      <c r="A78" s="7"/>
      <c r="B78" s="42"/>
      <c r="C78" s="9"/>
      <c r="D78" s="7"/>
      <c r="E78" s="7"/>
      <c r="F78" s="42"/>
      <c r="G78" s="7"/>
    </row>
    <row r="79">
      <c r="A79" s="7"/>
      <c r="B79" s="42"/>
      <c r="C79" s="9"/>
      <c r="D79" s="7"/>
      <c r="E79" s="7"/>
      <c r="F79" s="42"/>
      <c r="G79" s="7"/>
    </row>
    <row r="80">
      <c r="A80" s="7"/>
      <c r="B80" s="42"/>
      <c r="C80" s="9"/>
      <c r="D80" s="7"/>
      <c r="E80" s="7"/>
      <c r="F80" s="42"/>
      <c r="G80" s="7"/>
    </row>
    <row r="81">
      <c r="A81" s="7"/>
      <c r="B81" s="42"/>
      <c r="C81" s="9"/>
      <c r="D81" s="7"/>
      <c r="E81" s="7"/>
      <c r="F81" s="42"/>
      <c r="G81" s="7"/>
    </row>
    <row r="82">
      <c r="A82" s="7"/>
      <c r="B82" s="42"/>
      <c r="C82" s="9"/>
      <c r="D82" s="7"/>
      <c r="E82" s="7"/>
      <c r="F82" s="42"/>
      <c r="G82" s="7"/>
    </row>
    <row r="83">
      <c r="A83" s="7"/>
      <c r="B83" s="42"/>
      <c r="C83" s="9"/>
      <c r="D83" s="7"/>
      <c r="E83" s="7"/>
      <c r="F83" s="42"/>
      <c r="G83" s="7"/>
    </row>
    <row r="84">
      <c r="A84" s="7"/>
      <c r="B84" s="42"/>
      <c r="C84" s="9"/>
      <c r="D84" s="7"/>
      <c r="E84" s="7"/>
      <c r="F84" s="42"/>
      <c r="G84" s="7"/>
    </row>
    <row r="85">
      <c r="A85" s="7"/>
      <c r="B85" s="42"/>
      <c r="C85" s="9"/>
      <c r="D85" s="7"/>
      <c r="E85" s="7"/>
      <c r="F85" s="42"/>
      <c r="G85" s="7"/>
    </row>
    <row r="86">
      <c r="A86" s="7"/>
      <c r="B86" s="42"/>
      <c r="C86" s="9"/>
      <c r="D86" s="7"/>
      <c r="E86" s="7"/>
      <c r="F86" s="42"/>
      <c r="G86" s="7"/>
    </row>
    <row r="87">
      <c r="A87" s="7"/>
      <c r="B87" s="42"/>
      <c r="C87" s="9"/>
      <c r="D87" s="7"/>
      <c r="E87" s="7"/>
      <c r="F87" s="42"/>
      <c r="G87" s="7"/>
    </row>
    <row r="88">
      <c r="A88" s="7"/>
      <c r="B88" s="42"/>
      <c r="C88" s="9"/>
      <c r="D88" s="7"/>
      <c r="E88" s="7"/>
      <c r="F88" s="42"/>
      <c r="G88" s="7"/>
    </row>
    <row r="89">
      <c r="A89" s="7"/>
      <c r="B89" s="42"/>
      <c r="C89" s="9"/>
      <c r="D89" s="7"/>
      <c r="E89" s="7"/>
      <c r="F89" s="42"/>
      <c r="G89" s="7"/>
    </row>
    <row r="90">
      <c r="A90" s="7"/>
      <c r="B90" s="42"/>
      <c r="C90" s="9"/>
      <c r="D90" s="7"/>
      <c r="E90" s="7"/>
      <c r="F90" s="42"/>
      <c r="G90" s="7"/>
    </row>
    <row r="91">
      <c r="A91" s="7"/>
      <c r="B91" s="42"/>
      <c r="C91" s="9"/>
      <c r="D91" s="7"/>
      <c r="E91" s="7"/>
      <c r="F91" s="42"/>
      <c r="G91" s="7"/>
    </row>
    <row r="92">
      <c r="A92" s="7"/>
      <c r="B92" s="42"/>
      <c r="C92" s="9"/>
      <c r="D92" s="7"/>
      <c r="E92" s="7"/>
      <c r="F92" s="42"/>
      <c r="G92" s="7"/>
    </row>
    <row r="93">
      <c r="A93" s="7"/>
      <c r="B93" s="42"/>
      <c r="C93" s="9"/>
      <c r="D93" s="7"/>
      <c r="E93" s="7"/>
      <c r="F93" s="42"/>
      <c r="G93" s="7"/>
    </row>
    <row r="94">
      <c r="A94" s="7"/>
      <c r="B94" s="42"/>
      <c r="C94" s="9"/>
      <c r="D94" s="7"/>
      <c r="E94" s="7"/>
      <c r="F94" s="42"/>
      <c r="G94" s="7"/>
    </row>
    <row r="95">
      <c r="A95" s="7"/>
      <c r="B95" s="42"/>
      <c r="C95" s="9"/>
      <c r="D95" s="7"/>
      <c r="E95" s="7"/>
      <c r="F95" s="42"/>
      <c r="G95" s="7"/>
    </row>
    <row r="96">
      <c r="A96" s="7"/>
      <c r="B96" s="42"/>
      <c r="C96" s="9"/>
      <c r="D96" s="7"/>
      <c r="E96" s="7"/>
      <c r="F96" s="42"/>
      <c r="G96" s="7"/>
    </row>
    <row r="97">
      <c r="A97" s="7"/>
      <c r="B97" s="42"/>
      <c r="C97" s="9"/>
      <c r="D97" s="7"/>
      <c r="E97" s="7"/>
      <c r="F97" s="42"/>
      <c r="G97" s="7"/>
    </row>
    <row r="98">
      <c r="A98" s="7"/>
      <c r="B98" s="42"/>
      <c r="C98" s="9"/>
      <c r="D98" s="7"/>
      <c r="E98" s="7"/>
      <c r="F98" s="42"/>
      <c r="G98" s="7"/>
    </row>
    <row r="99">
      <c r="A99" s="7"/>
      <c r="B99" s="42"/>
      <c r="C99" s="9"/>
      <c r="D99" s="7"/>
      <c r="E99" s="7"/>
      <c r="F99" s="42"/>
      <c r="G99" s="7"/>
    </row>
    <row r="100">
      <c r="A100" s="7"/>
      <c r="B100" s="42"/>
      <c r="C100" s="9"/>
      <c r="D100" s="7"/>
      <c r="E100" s="7"/>
      <c r="F100" s="42"/>
      <c r="G100" s="7"/>
    </row>
    <row r="101">
      <c r="A101" s="7"/>
      <c r="B101" s="42"/>
      <c r="C101" s="9"/>
      <c r="D101" s="7"/>
      <c r="E101" s="7"/>
      <c r="F101" s="42"/>
      <c r="G101" s="7"/>
    </row>
    <row r="102">
      <c r="A102" s="7"/>
      <c r="B102" s="42"/>
      <c r="C102" s="9"/>
      <c r="D102" s="7"/>
      <c r="E102" s="7"/>
      <c r="F102" s="42"/>
      <c r="G102" s="7"/>
    </row>
    <row r="103">
      <c r="A103" s="7"/>
      <c r="B103" s="42"/>
      <c r="C103" s="9"/>
      <c r="D103" s="7"/>
      <c r="E103" s="7"/>
      <c r="F103" s="42"/>
      <c r="G103" s="7"/>
    </row>
    <row r="104">
      <c r="A104" s="7"/>
      <c r="B104" s="42"/>
      <c r="C104" s="9"/>
      <c r="D104" s="7"/>
      <c r="E104" s="7"/>
      <c r="F104" s="7"/>
      <c r="G104" s="7"/>
    </row>
    <row r="105">
      <c r="A105" s="7"/>
      <c r="B105" s="42"/>
      <c r="C105" s="9"/>
      <c r="D105" s="7"/>
      <c r="E105" s="7"/>
      <c r="F105" s="7"/>
      <c r="G105" s="7"/>
    </row>
    <row r="106">
      <c r="A106" s="7"/>
      <c r="B106" s="42"/>
      <c r="C106" s="9"/>
      <c r="D106" s="7"/>
      <c r="E106" s="7"/>
      <c r="F106" s="7"/>
      <c r="G106" s="7"/>
    </row>
    <row r="107">
      <c r="A107" s="7"/>
      <c r="B107" s="42"/>
      <c r="C107" s="9"/>
      <c r="D107" s="7"/>
      <c r="E107" s="7"/>
      <c r="F107" s="7"/>
      <c r="G107" s="7"/>
    </row>
    <row r="108">
      <c r="A108" s="7"/>
      <c r="B108" s="42"/>
      <c r="C108" s="9"/>
      <c r="D108" s="7"/>
      <c r="E108" s="7"/>
      <c r="F108" s="7"/>
      <c r="G108" s="7"/>
    </row>
    <row r="109">
      <c r="A109" s="7"/>
      <c r="B109" s="42"/>
      <c r="C109" s="9"/>
      <c r="D109" s="7"/>
      <c r="E109" s="7"/>
      <c r="F109" s="7"/>
      <c r="G109" s="7"/>
    </row>
    <row r="110">
      <c r="A110" s="7"/>
      <c r="B110" s="42"/>
      <c r="C110" s="9"/>
      <c r="D110" s="7"/>
      <c r="E110" s="7"/>
      <c r="F110" s="7"/>
      <c r="G110" s="7"/>
    </row>
    <row r="111">
      <c r="A111" s="7"/>
      <c r="B111" s="42"/>
      <c r="C111" s="9"/>
      <c r="D111" s="7"/>
      <c r="E111" s="7"/>
      <c r="F111" s="7"/>
      <c r="G111" s="7"/>
    </row>
    <row r="112">
      <c r="A112" s="7"/>
      <c r="B112" s="42"/>
      <c r="C112" s="9"/>
      <c r="D112" s="7"/>
      <c r="E112" s="7"/>
      <c r="F112" s="7"/>
      <c r="G112" s="7"/>
    </row>
    <row r="113">
      <c r="A113" s="7"/>
      <c r="B113" s="42"/>
      <c r="C113" s="9"/>
      <c r="D113" s="7"/>
      <c r="E113" s="7"/>
      <c r="F113" s="7"/>
      <c r="G113" s="7"/>
    </row>
    <row r="114">
      <c r="A114" s="7"/>
      <c r="B114" s="42"/>
      <c r="C114" s="9"/>
      <c r="D114" s="7"/>
      <c r="E114" s="7"/>
      <c r="F114" s="7"/>
      <c r="G114" s="7"/>
    </row>
    <row r="115">
      <c r="A115" s="7"/>
      <c r="B115" s="42"/>
      <c r="C115" s="9"/>
      <c r="D115" s="7"/>
      <c r="E115" s="7"/>
      <c r="F115" s="7"/>
      <c r="G115" s="7"/>
    </row>
    <row r="116">
      <c r="A116" s="7"/>
      <c r="B116" s="42"/>
      <c r="C116" s="9"/>
      <c r="D116" s="7"/>
      <c r="E116" s="7"/>
      <c r="F116" s="7"/>
      <c r="G116" s="7"/>
    </row>
    <row r="117">
      <c r="A117" s="7"/>
      <c r="B117" s="42"/>
      <c r="C117" s="9"/>
      <c r="D117" s="7"/>
      <c r="E117" s="7"/>
      <c r="F117" s="7"/>
      <c r="G117" s="7"/>
    </row>
    <row r="118">
      <c r="A118" s="7"/>
      <c r="B118" s="42"/>
      <c r="C118" s="9"/>
      <c r="D118" s="7"/>
      <c r="E118" s="7"/>
      <c r="F118" s="7"/>
      <c r="G118" s="7"/>
    </row>
    <row r="119">
      <c r="A119" s="7"/>
      <c r="B119" s="42"/>
      <c r="C119" s="9"/>
      <c r="D119" s="7"/>
      <c r="E119" s="7"/>
      <c r="F119" s="7"/>
      <c r="G119" s="7"/>
    </row>
    <row r="120">
      <c r="A120" s="7"/>
      <c r="B120" s="42"/>
      <c r="C120" s="9"/>
      <c r="D120" s="7"/>
      <c r="E120" s="7"/>
      <c r="F120" s="7"/>
      <c r="G120" s="7"/>
    </row>
    <row r="121">
      <c r="A121" s="7"/>
      <c r="B121" s="42"/>
      <c r="C121" s="9"/>
      <c r="D121" s="7"/>
      <c r="E121" s="7"/>
      <c r="F121" s="7"/>
      <c r="G121" s="7"/>
    </row>
    <row r="122">
      <c r="A122" s="7"/>
      <c r="B122" s="42"/>
      <c r="C122" s="9"/>
      <c r="D122" s="7"/>
      <c r="E122" s="7"/>
      <c r="F122" s="7"/>
      <c r="G122" s="7"/>
    </row>
    <row r="123">
      <c r="A123" s="7"/>
      <c r="B123" s="42"/>
      <c r="C123" s="9"/>
      <c r="D123" s="7"/>
      <c r="E123" s="7"/>
      <c r="F123" s="7"/>
      <c r="G123" s="7"/>
    </row>
    <row r="124">
      <c r="A124" s="7"/>
      <c r="B124" s="42"/>
      <c r="C124" s="9"/>
      <c r="D124" s="7"/>
      <c r="E124" s="7"/>
      <c r="F124" s="7"/>
      <c r="G124" s="7"/>
    </row>
    <row r="125">
      <c r="A125" s="7"/>
      <c r="B125" s="42"/>
      <c r="C125" s="9"/>
      <c r="D125" s="7"/>
      <c r="E125" s="7"/>
      <c r="F125" s="7"/>
      <c r="G125" s="7"/>
    </row>
    <row r="126">
      <c r="A126" s="7"/>
      <c r="B126" s="42"/>
      <c r="C126" s="9"/>
      <c r="D126" s="7"/>
      <c r="E126" s="7"/>
      <c r="F126" s="7"/>
      <c r="G126" s="7"/>
    </row>
    <row r="127">
      <c r="A127" s="7"/>
      <c r="B127" s="42"/>
      <c r="C127" s="9"/>
      <c r="D127" s="7"/>
      <c r="E127" s="7"/>
      <c r="F127" s="7"/>
      <c r="G127" s="7"/>
    </row>
    <row r="128">
      <c r="A128" s="7"/>
      <c r="B128" s="42"/>
      <c r="C128" s="9"/>
      <c r="D128" s="7"/>
      <c r="E128" s="7"/>
      <c r="F128" s="7"/>
      <c r="G128" s="7"/>
    </row>
    <row r="129">
      <c r="A129" s="7"/>
      <c r="B129" s="42"/>
      <c r="C129" s="9"/>
      <c r="D129" s="7"/>
      <c r="E129" s="7"/>
      <c r="F129" s="7"/>
      <c r="G129" s="7"/>
    </row>
    <row r="130">
      <c r="A130" s="7"/>
      <c r="B130" s="42"/>
      <c r="C130" s="9"/>
      <c r="D130" s="7"/>
      <c r="E130" s="7"/>
      <c r="F130" s="7"/>
      <c r="G130" s="7"/>
    </row>
    <row r="131">
      <c r="A131" s="7"/>
      <c r="B131" s="42"/>
      <c r="C131" s="9"/>
      <c r="D131" s="7"/>
      <c r="E131" s="7"/>
      <c r="F131" s="7"/>
      <c r="G131" s="7"/>
    </row>
    <row r="132">
      <c r="A132" s="7"/>
      <c r="B132" s="42"/>
      <c r="C132" s="9"/>
      <c r="D132" s="7"/>
      <c r="E132" s="7"/>
      <c r="F132" s="7"/>
      <c r="G132" s="7"/>
    </row>
    <row r="133">
      <c r="A133" s="7"/>
      <c r="B133" s="42"/>
      <c r="C133" s="9"/>
      <c r="D133" s="7"/>
      <c r="E133" s="7"/>
      <c r="F133" s="7"/>
      <c r="G133" s="7"/>
    </row>
    <row r="134">
      <c r="A134" s="7"/>
      <c r="B134" s="42"/>
      <c r="C134" s="9"/>
      <c r="D134" s="7"/>
      <c r="E134" s="7"/>
      <c r="F134" s="7"/>
      <c r="G134" s="7"/>
    </row>
    <row r="135">
      <c r="A135" s="7"/>
      <c r="B135" s="42"/>
      <c r="C135" s="9"/>
      <c r="D135" s="7"/>
      <c r="E135" s="7"/>
      <c r="F135" s="7"/>
      <c r="G135" s="7"/>
    </row>
    <row r="136">
      <c r="A136" s="7"/>
      <c r="B136" s="42"/>
      <c r="C136" s="9"/>
      <c r="D136" s="7"/>
      <c r="E136" s="7"/>
      <c r="F136" s="7"/>
      <c r="G136" s="7"/>
    </row>
    <row r="137">
      <c r="A137" s="7"/>
      <c r="B137" s="42"/>
      <c r="C137" s="9"/>
      <c r="D137" s="7"/>
      <c r="E137" s="7"/>
      <c r="F137" s="7"/>
      <c r="G137" s="7"/>
    </row>
    <row r="138">
      <c r="A138" s="7"/>
      <c r="B138" s="42"/>
      <c r="C138" s="9"/>
      <c r="D138" s="7"/>
      <c r="E138" s="7"/>
      <c r="F138" s="7"/>
      <c r="G138" s="7"/>
    </row>
    <row r="139">
      <c r="A139" s="7"/>
      <c r="B139" s="42"/>
      <c r="C139" s="9"/>
      <c r="D139" s="7"/>
      <c r="E139" s="7"/>
      <c r="F139" s="7"/>
      <c r="G139" s="7"/>
    </row>
    <row r="140">
      <c r="A140" s="7"/>
      <c r="B140" s="42"/>
      <c r="C140" s="9"/>
      <c r="D140" s="7"/>
      <c r="E140" s="7"/>
      <c r="F140" s="7"/>
      <c r="G140" s="7"/>
    </row>
    <row r="141">
      <c r="A141" s="7"/>
      <c r="B141" s="42"/>
      <c r="C141" s="9"/>
      <c r="D141" s="7"/>
      <c r="E141" s="7"/>
      <c r="F141" s="7"/>
      <c r="G141" s="7"/>
    </row>
    <row r="142">
      <c r="A142" s="7"/>
      <c r="B142" s="42"/>
      <c r="C142" s="9"/>
      <c r="D142" s="7"/>
      <c r="E142" s="7"/>
      <c r="F142" s="7"/>
      <c r="G142" s="7"/>
    </row>
    <row r="143">
      <c r="A143" s="7"/>
      <c r="B143" s="42"/>
      <c r="C143" s="9"/>
      <c r="D143" s="7"/>
      <c r="E143" s="7"/>
      <c r="F143" s="7"/>
      <c r="G143" s="7"/>
    </row>
    <row r="144">
      <c r="A144" s="7"/>
      <c r="B144" s="42"/>
      <c r="C144" s="9"/>
      <c r="D144" s="7"/>
      <c r="E144" s="7"/>
      <c r="F144" s="7"/>
      <c r="G144" s="7"/>
    </row>
    <row r="145">
      <c r="A145" s="7"/>
      <c r="B145" s="42"/>
      <c r="C145" s="9"/>
      <c r="D145" s="7"/>
      <c r="E145" s="7"/>
      <c r="F145" s="7"/>
      <c r="G145" s="7"/>
    </row>
    <row r="146">
      <c r="A146" s="7"/>
      <c r="B146" s="42"/>
      <c r="C146" s="9"/>
      <c r="D146" s="7"/>
      <c r="E146" s="7"/>
      <c r="F146" s="7"/>
      <c r="G146" s="7"/>
    </row>
    <row r="147">
      <c r="A147" s="7"/>
      <c r="B147" s="42"/>
      <c r="C147" s="9"/>
      <c r="D147" s="7"/>
      <c r="E147" s="7"/>
      <c r="F147" s="7"/>
      <c r="G147" s="7"/>
    </row>
    <row r="148">
      <c r="A148" s="7"/>
      <c r="B148" s="42"/>
      <c r="C148" s="9"/>
      <c r="D148" s="7"/>
      <c r="E148" s="7"/>
      <c r="F148" s="7"/>
      <c r="G148" s="7"/>
    </row>
    <row r="149">
      <c r="A149" s="7"/>
      <c r="B149" s="42"/>
      <c r="C149" s="9"/>
      <c r="D149" s="7"/>
      <c r="E149" s="7"/>
      <c r="F149" s="7"/>
      <c r="G149" s="7"/>
    </row>
    <row r="150">
      <c r="A150" s="7"/>
      <c r="B150" s="42"/>
      <c r="C150" s="9"/>
      <c r="D150" s="7"/>
      <c r="E150" s="7"/>
      <c r="F150" s="7"/>
      <c r="G150" s="7"/>
    </row>
    <row r="151">
      <c r="A151" s="7"/>
      <c r="B151" s="42"/>
      <c r="C151" s="9"/>
      <c r="D151" s="7"/>
      <c r="E151" s="7"/>
      <c r="F151" s="7"/>
      <c r="G151" s="7"/>
    </row>
    <row r="152">
      <c r="A152" s="7"/>
      <c r="B152" s="42"/>
      <c r="C152" s="9"/>
      <c r="D152" s="7"/>
      <c r="E152" s="7"/>
      <c r="F152" s="7"/>
      <c r="G152" s="7"/>
    </row>
    <row r="153">
      <c r="A153" s="7"/>
      <c r="B153" s="42"/>
      <c r="C153" s="9"/>
      <c r="D153" s="7"/>
      <c r="E153" s="7"/>
      <c r="F153" s="7"/>
      <c r="G153" s="7"/>
    </row>
    <row r="154">
      <c r="A154" s="7"/>
      <c r="B154" s="42"/>
      <c r="C154" s="9"/>
      <c r="D154" s="7"/>
      <c r="E154" s="7"/>
      <c r="F154" s="7"/>
      <c r="G154" s="7"/>
    </row>
    <row r="155">
      <c r="A155" s="7"/>
      <c r="B155" s="42"/>
      <c r="C155" s="9"/>
      <c r="D155" s="7"/>
      <c r="E155" s="7"/>
      <c r="F155" s="7"/>
      <c r="G155" s="7"/>
    </row>
    <row r="156">
      <c r="A156" s="7"/>
      <c r="B156" s="42"/>
      <c r="C156" s="9"/>
      <c r="D156" s="7"/>
      <c r="E156" s="7"/>
      <c r="F156" s="7"/>
      <c r="G156" s="7"/>
    </row>
    <row r="157">
      <c r="A157" s="7"/>
      <c r="B157" s="42"/>
      <c r="C157" s="9"/>
      <c r="D157" s="7"/>
      <c r="E157" s="7"/>
      <c r="F157" s="7"/>
      <c r="G157" s="7"/>
    </row>
    <row r="158">
      <c r="A158" s="7"/>
      <c r="B158" s="42"/>
      <c r="C158" s="9"/>
      <c r="D158" s="7"/>
      <c r="E158" s="7"/>
      <c r="F158" s="7"/>
      <c r="G158" s="7"/>
    </row>
    <row r="159">
      <c r="A159" s="7"/>
      <c r="B159" s="42"/>
      <c r="C159" s="9"/>
      <c r="D159" s="7"/>
      <c r="E159" s="7"/>
      <c r="F159" s="7"/>
      <c r="G159" s="7"/>
    </row>
    <row r="160">
      <c r="A160" s="7"/>
      <c r="B160" s="42"/>
      <c r="C160" s="9"/>
      <c r="D160" s="7"/>
      <c r="E160" s="7"/>
      <c r="F160" s="7"/>
      <c r="G160" s="7"/>
    </row>
    <row r="161">
      <c r="A161" s="7"/>
      <c r="B161" s="42"/>
      <c r="C161" s="9"/>
      <c r="D161" s="7"/>
      <c r="E161" s="7"/>
      <c r="F161" s="7"/>
      <c r="G161" s="7"/>
    </row>
    <row r="162">
      <c r="A162" s="7"/>
      <c r="B162" s="42"/>
      <c r="C162" s="9"/>
      <c r="D162" s="7"/>
      <c r="E162" s="7"/>
      <c r="F162" s="7"/>
      <c r="G162" s="7"/>
    </row>
    <row r="163">
      <c r="A163" s="7"/>
      <c r="B163" s="42"/>
      <c r="C163" s="9"/>
      <c r="D163" s="7"/>
      <c r="E163" s="7"/>
      <c r="F163" s="7"/>
      <c r="G163" s="7"/>
    </row>
    <row r="164">
      <c r="A164" s="7"/>
      <c r="B164" s="42"/>
      <c r="C164" s="9"/>
      <c r="D164" s="7"/>
      <c r="E164" s="7"/>
      <c r="F164" s="7"/>
      <c r="G164" s="7"/>
    </row>
    <row r="165">
      <c r="A165" s="7"/>
      <c r="B165" s="42"/>
      <c r="C165" s="9"/>
      <c r="D165" s="7"/>
      <c r="E165" s="7"/>
      <c r="F165" s="7"/>
      <c r="G165" s="7"/>
    </row>
    <row r="166">
      <c r="A166" s="7"/>
      <c r="B166" s="42"/>
      <c r="C166" s="9"/>
      <c r="D166" s="7"/>
      <c r="E166" s="7"/>
      <c r="F166" s="7"/>
      <c r="G166" s="7"/>
    </row>
    <row r="167">
      <c r="A167" s="7"/>
      <c r="B167" s="42"/>
      <c r="C167" s="9"/>
      <c r="D167" s="7"/>
      <c r="E167" s="7"/>
      <c r="F167" s="7"/>
      <c r="G167" s="7"/>
    </row>
    <row r="168">
      <c r="A168" s="7"/>
      <c r="B168" s="42"/>
      <c r="C168" s="9"/>
      <c r="D168" s="7"/>
      <c r="E168" s="7"/>
      <c r="F168" s="7"/>
      <c r="G168" s="7"/>
    </row>
    <row r="169">
      <c r="A169" s="7"/>
      <c r="B169" s="42"/>
      <c r="C169" s="9"/>
      <c r="D169" s="7"/>
      <c r="E169" s="7"/>
      <c r="F169" s="7"/>
      <c r="G169" s="7"/>
    </row>
    <row r="170">
      <c r="A170" s="7"/>
      <c r="B170" s="42"/>
      <c r="C170" s="9"/>
      <c r="D170" s="7"/>
      <c r="E170" s="7"/>
      <c r="F170" s="7"/>
      <c r="G170" s="7"/>
    </row>
    <row r="171">
      <c r="A171" s="7"/>
      <c r="B171" s="42"/>
      <c r="C171" s="9"/>
      <c r="D171" s="7"/>
      <c r="E171" s="7"/>
      <c r="F171" s="7"/>
      <c r="G171" s="7"/>
    </row>
    <row r="172">
      <c r="A172" s="7"/>
      <c r="B172" s="42"/>
      <c r="C172" s="9"/>
      <c r="D172" s="7"/>
      <c r="E172" s="7"/>
      <c r="F172" s="7"/>
      <c r="G172" s="7"/>
    </row>
    <row r="173">
      <c r="A173" s="7"/>
      <c r="B173" s="42"/>
      <c r="C173" s="9"/>
      <c r="D173" s="7"/>
      <c r="E173" s="7"/>
      <c r="F173" s="7"/>
      <c r="G173" s="7"/>
    </row>
    <row r="174">
      <c r="A174" s="7"/>
      <c r="B174" s="42"/>
      <c r="C174" s="9"/>
      <c r="D174" s="7"/>
      <c r="E174" s="7"/>
      <c r="F174" s="7"/>
      <c r="G174" s="7"/>
    </row>
    <row r="175">
      <c r="A175" s="7"/>
      <c r="B175" s="42"/>
      <c r="C175" s="9"/>
      <c r="D175" s="7"/>
      <c r="E175" s="7"/>
      <c r="F175" s="7"/>
      <c r="G175" s="7"/>
    </row>
    <row r="176">
      <c r="A176" s="7"/>
      <c r="B176" s="42"/>
      <c r="C176" s="9"/>
      <c r="D176" s="7"/>
      <c r="E176" s="7"/>
      <c r="F176" s="7"/>
      <c r="G176" s="7"/>
    </row>
    <row r="177">
      <c r="A177" s="7"/>
      <c r="B177" s="42"/>
      <c r="C177" s="9"/>
      <c r="D177" s="7"/>
      <c r="E177" s="7"/>
      <c r="F177" s="7"/>
      <c r="G177" s="7"/>
    </row>
    <row r="178">
      <c r="A178" s="7"/>
      <c r="B178" s="42"/>
      <c r="C178" s="9"/>
      <c r="D178" s="7"/>
      <c r="E178" s="7"/>
      <c r="F178" s="7"/>
      <c r="G178" s="7"/>
    </row>
    <row r="179">
      <c r="A179" s="7"/>
      <c r="B179" s="42"/>
      <c r="C179" s="9"/>
      <c r="D179" s="7"/>
      <c r="E179" s="7"/>
      <c r="F179" s="7"/>
      <c r="G179" s="7"/>
    </row>
    <row r="180">
      <c r="A180" s="7"/>
      <c r="B180" s="42"/>
      <c r="C180" s="9"/>
      <c r="D180" s="7"/>
      <c r="E180" s="7"/>
      <c r="F180" s="7"/>
      <c r="G180" s="7"/>
    </row>
    <row r="181">
      <c r="A181" s="7"/>
      <c r="B181" s="42"/>
      <c r="C181" s="9"/>
      <c r="D181" s="7"/>
      <c r="E181" s="7"/>
      <c r="F181" s="7"/>
      <c r="G181" s="7"/>
    </row>
    <row r="182">
      <c r="A182" s="7"/>
      <c r="B182" s="42"/>
      <c r="C182" s="9"/>
      <c r="D182" s="7"/>
      <c r="E182" s="7"/>
      <c r="F182" s="7"/>
      <c r="G182" s="7"/>
    </row>
    <row r="183">
      <c r="A183" s="7"/>
      <c r="B183" s="42"/>
      <c r="C183" s="9"/>
      <c r="D183" s="7"/>
      <c r="E183" s="7"/>
      <c r="F183" s="7"/>
      <c r="G183" s="7"/>
    </row>
    <row r="184">
      <c r="A184" s="7"/>
      <c r="B184" s="42"/>
      <c r="C184" s="9"/>
      <c r="D184" s="7"/>
      <c r="E184" s="7"/>
      <c r="F184" s="7"/>
      <c r="G184" s="7"/>
    </row>
    <row r="185">
      <c r="A185" s="7"/>
      <c r="B185" s="42"/>
      <c r="C185" s="9"/>
      <c r="D185" s="7"/>
      <c r="E185" s="7"/>
      <c r="F185" s="7"/>
      <c r="G185" s="7"/>
    </row>
    <row r="186">
      <c r="A186" s="7"/>
      <c r="B186" s="42"/>
      <c r="C186" s="9"/>
      <c r="D186" s="7"/>
      <c r="E186" s="7"/>
      <c r="F186" s="7"/>
      <c r="G186" s="7"/>
    </row>
    <row r="187">
      <c r="A187" s="7"/>
      <c r="B187" s="42"/>
      <c r="C187" s="9"/>
      <c r="D187" s="7"/>
      <c r="E187" s="7"/>
      <c r="F187" s="7"/>
      <c r="G187" s="7"/>
    </row>
    <row r="188">
      <c r="A188" s="7"/>
      <c r="B188" s="42"/>
      <c r="C188" s="9"/>
      <c r="D188" s="7"/>
      <c r="E188" s="7"/>
      <c r="F188" s="7"/>
      <c r="G188" s="7"/>
    </row>
    <row r="189">
      <c r="A189" s="7"/>
      <c r="B189" s="42"/>
      <c r="C189" s="9"/>
      <c r="D189" s="7"/>
      <c r="E189" s="7"/>
      <c r="F189" s="7"/>
      <c r="G189" s="7"/>
    </row>
    <row r="190">
      <c r="A190" s="7"/>
      <c r="B190" s="42"/>
      <c r="C190" s="9"/>
      <c r="D190" s="7"/>
      <c r="E190" s="7"/>
      <c r="F190" s="7"/>
      <c r="G190" s="7"/>
    </row>
    <row r="191">
      <c r="A191" s="7"/>
      <c r="B191" s="42"/>
      <c r="C191" s="9"/>
      <c r="D191" s="7"/>
      <c r="E191" s="7"/>
      <c r="F191" s="7"/>
      <c r="G191" s="7"/>
    </row>
    <row r="192">
      <c r="A192" s="7"/>
      <c r="B192" s="42"/>
      <c r="C192" s="9"/>
      <c r="D192" s="7"/>
      <c r="E192" s="7"/>
      <c r="F192" s="7"/>
      <c r="G192" s="7"/>
    </row>
    <row r="193">
      <c r="A193" s="7"/>
      <c r="B193" s="42"/>
      <c r="C193" s="9"/>
      <c r="D193" s="7"/>
      <c r="E193" s="7"/>
      <c r="F193" s="7"/>
      <c r="G193" s="7"/>
    </row>
    <row r="194">
      <c r="A194" s="7"/>
      <c r="B194" s="42"/>
      <c r="C194" s="9"/>
      <c r="D194" s="7"/>
      <c r="E194" s="7"/>
      <c r="F194" s="7"/>
      <c r="G194" s="7"/>
    </row>
    <row r="195">
      <c r="A195" s="7"/>
      <c r="B195" s="42"/>
      <c r="C195" s="9"/>
      <c r="D195" s="7"/>
      <c r="E195" s="7"/>
      <c r="F195" s="7"/>
      <c r="G195" s="7"/>
    </row>
    <row r="196">
      <c r="A196" s="7"/>
      <c r="B196" s="42"/>
      <c r="C196" s="9"/>
      <c r="D196" s="7"/>
      <c r="E196" s="7"/>
      <c r="F196" s="7"/>
      <c r="G196" s="7"/>
    </row>
    <row r="197">
      <c r="A197" s="7"/>
      <c r="B197" s="42"/>
      <c r="C197" s="9"/>
      <c r="D197" s="7"/>
      <c r="E197" s="7"/>
      <c r="F197" s="7"/>
      <c r="G197" s="7"/>
    </row>
    <row r="198">
      <c r="A198" s="7"/>
      <c r="B198" s="42"/>
      <c r="C198" s="9"/>
      <c r="D198" s="7"/>
      <c r="E198" s="7"/>
      <c r="F198" s="7"/>
      <c r="G198" s="7"/>
    </row>
    <row r="199">
      <c r="A199" s="7"/>
      <c r="B199" s="42"/>
      <c r="C199" s="9"/>
      <c r="D199" s="7"/>
      <c r="E199" s="7"/>
      <c r="F199" s="7"/>
      <c r="G199" s="7"/>
    </row>
    <row r="200">
      <c r="A200" s="7"/>
      <c r="B200" s="42"/>
      <c r="C200" s="9"/>
      <c r="D200" s="7"/>
      <c r="E200" s="7"/>
      <c r="F200" s="7"/>
      <c r="G200" s="7"/>
    </row>
    <row r="201">
      <c r="A201" s="7"/>
      <c r="B201" s="42"/>
      <c r="C201" s="9"/>
      <c r="D201" s="7"/>
      <c r="E201" s="7"/>
      <c r="F201" s="7"/>
      <c r="G201" s="7"/>
    </row>
    <row r="202">
      <c r="A202" s="7"/>
      <c r="B202" s="42"/>
      <c r="C202" s="9"/>
      <c r="D202" s="7"/>
      <c r="E202" s="7"/>
      <c r="F202" s="7"/>
      <c r="G202" s="7"/>
    </row>
    <row r="203">
      <c r="A203" s="7"/>
      <c r="B203" s="42"/>
      <c r="C203" s="9"/>
      <c r="D203" s="7"/>
      <c r="E203" s="7"/>
      <c r="F203" s="7"/>
      <c r="G203" s="7"/>
    </row>
    <row r="204">
      <c r="A204" s="7"/>
      <c r="B204" s="42"/>
      <c r="C204" s="9"/>
      <c r="D204" s="7"/>
      <c r="E204" s="7"/>
      <c r="F204" s="7"/>
      <c r="G204" s="7"/>
    </row>
    <row r="205">
      <c r="A205" s="7"/>
      <c r="B205" s="42"/>
      <c r="C205" s="9"/>
      <c r="D205" s="7"/>
      <c r="E205" s="7"/>
      <c r="F205" s="7"/>
      <c r="G205" s="7"/>
    </row>
    <row r="206">
      <c r="A206" s="7"/>
      <c r="B206" s="42"/>
      <c r="C206" s="9"/>
      <c r="D206" s="7"/>
      <c r="E206" s="7"/>
      <c r="F206" s="7"/>
      <c r="G206" s="7"/>
    </row>
    <row r="207">
      <c r="A207" s="7"/>
      <c r="B207" s="42"/>
      <c r="C207" s="9"/>
      <c r="D207" s="7"/>
      <c r="E207" s="7"/>
      <c r="F207" s="7"/>
      <c r="G207" s="7"/>
    </row>
    <row r="208">
      <c r="A208" s="7"/>
      <c r="B208" s="42"/>
      <c r="C208" s="9"/>
      <c r="D208" s="7"/>
      <c r="E208" s="7"/>
      <c r="F208" s="7"/>
      <c r="G208" s="7"/>
    </row>
    <row r="209">
      <c r="A209" s="7"/>
      <c r="B209" s="42"/>
      <c r="C209" s="9"/>
      <c r="D209" s="7"/>
      <c r="E209" s="7"/>
      <c r="F209" s="7"/>
      <c r="G209" s="7"/>
    </row>
    <row r="210">
      <c r="A210" s="7"/>
      <c r="B210" s="42"/>
      <c r="C210" s="9"/>
      <c r="D210" s="7"/>
      <c r="E210" s="7"/>
      <c r="F210" s="7"/>
      <c r="G210" s="7"/>
    </row>
    <row r="211">
      <c r="A211" s="7"/>
      <c r="B211" s="42"/>
      <c r="C211" s="9"/>
      <c r="D211" s="7"/>
      <c r="E211" s="7"/>
      <c r="F211" s="7"/>
      <c r="G211" s="7"/>
    </row>
    <row r="212">
      <c r="A212" s="7"/>
      <c r="B212" s="42"/>
      <c r="C212" s="9"/>
      <c r="D212" s="7"/>
      <c r="E212" s="7"/>
      <c r="F212" s="7"/>
      <c r="G212" s="7"/>
    </row>
    <row r="213">
      <c r="A213" s="7"/>
      <c r="B213" s="42"/>
      <c r="C213" s="9"/>
      <c r="D213" s="7"/>
      <c r="E213" s="7"/>
      <c r="F213" s="7"/>
      <c r="G213" s="7"/>
    </row>
    <row r="214">
      <c r="A214" s="7"/>
      <c r="B214" s="42"/>
      <c r="C214" s="9"/>
      <c r="D214" s="7"/>
      <c r="E214" s="7"/>
      <c r="F214" s="7"/>
      <c r="G214" s="7"/>
    </row>
    <row r="215">
      <c r="A215" s="7"/>
      <c r="B215" s="42"/>
      <c r="C215" s="9"/>
      <c r="D215" s="7"/>
      <c r="E215" s="7"/>
      <c r="F215" s="7"/>
      <c r="G215" s="7"/>
    </row>
    <row r="216">
      <c r="A216" s="7"/>
      <c r="B216" s="42"/>
      <c r="C216" s="9"/>
      <c r="D216" s="7"/>
      <c r="E216" s="7"/>
      <c r="F216" s="7"/>
      <c r="G216" s="7"/>
    </row>
    <row r="217">
      <c r="A217" s="7"/>
      <c r="B217" s="42"/>
      <c r="C217" s="9"/>
      <c r="D217" s="7"/>
      <c r="E217" s="7"/>
      <c r="F217" s="7"/>
      <c r="G217" s="7"/>
    </row>
    <row r="218">
      <c r="A218" s="7"/>
      <c r="B218" s="42"/>
      <c r="C218" s="9"/>
      <c r="D218" s="7"/>
      <c r="E218" s="7"/>
      <c r="F218" s="7"/>
      <c r="G218" s="7"/>
    </row>
    <row r="219">
      <c r="A219" s="7"/>
      <c r="B219" s="42"/>
      <c r="C219" s="9"/>
      <c r="D219" s="7"/>
      <c r="E219" s="7"/>
      <c r="F219" s="7"/>
      <c r="G219" s="7"/>
    </row>
    <row r="220">
      <c r="A220" s="7"/>
      <c r="B220" s="42"/>
      <c r="C220" s="9"/>
      <c r="D220" s="7"/>
      <c r="E220" s="7"/>
      <c r="F220" s="7"/>
      <c r="G220" s="7"/>
    </row>
    <row r="221">
      <c r="A221" s="7"/>
      <c r="B221" s="42"/>
      <c r="C221" s="9"/>
      <c r="D221" s="7"/>
      <c r="E221" s="7"/>
      <c r="F221" s="7"/>
      <c r="G221" s="7"/>
    </row>
    <row r="222">
      <c r="A222" s="7"/>
      <c r="B222" s="42"/>
      <c r="C222" s="9"/>
      <c r="D222" s="7"/>
      <c r="E222" s="7"/>
      <c r="F222" s="7"/>
      <c r="G222" s="7"/>
    </row>
    <row r="223">
      <c r="A223" s="7"/>
      <c r="B223" s="42"/>
      <c r="C223" s="9"/>
      <c r="D223" s="7"/>
      <c r="E223" s="7"/>
      <c r="F223" s="7"/>
      <c r="G223" s="7"/>
    </row>
    <row r="224">
      <c r="A224" s="7"/>
      <c r="B224" s="42"/>
      <c r="C224" s="9"/>
      <c r="D224" s="7"/>
      <c r="E224" s="7"/>
      <c r="F224" s="7"/>
      <c r="G224" s="7"/>
    </row>
    <row r="225">
      <c r="A225" s="7"/>
      <c r="B225" s="42"/>
      <c r="C225" s="9"/>
      <c r="D225" s="7"/>
      <c r="E225" s="7"/>
      <c r="F225" s="7"/>
      <c r="G225" s="7"/>
    </row>
    <row r="226">
      <c r="A226" s="7"/>
      <c r="B226" s="42"/>
      <c r="C226" s="9"/>
      <c r="D226" s="7"/>
      <c r="E226" s="7"/>
      <c r="F226" s="7"/>
      <c r="G226" s="7"/>
    </row>
    <row r="227">
      <c r="A227" s="7"/>
      <c r="B227" s="42"/>
      <c r="C227" s="9"/>
      <c r="D227" s="7"/>
      <c r="E227" s="7"/>
      <c r="F227" s="7"/>
      <c r="G227" s="7"/>
    </row>
    <row r="228">
      <c r="A228" s="7"/>
      <c r="B228" s="42"/>
      <c r="C228" s="9"/>
      <c r="D228" s="7"/>
      <c r="E228" s="7"/>
      <c r="F228" s="7"/>
      <c r="G228" s="7"/>
    </row>
    <row r="229">
      <c r="A229" s="7"/>
      <c r="B229" s="42"/>
      <c r="C229" s="9"/>
      <c r="D229" s="7"/>
      <c r="E229" s="7"/>
      <c r="F229" s="7"/>
      <c r="G229" s="7"/>
    </row>
    <row r="230">
      <c r="A230" s="7"/>
      <c r="B230" s="42"/>
      <c r="C230" s="9"/>
      <c r="D230" s="7"/>
      <c r="E230" s="7"/>
      <c r="F230" s="7"/>
      <c r="G230" s="7"/>
    </row>
    <row r="231">
      <c r="A231" s="7"/>
      <c r="B231" s="42"/>
      <c r="C231" s="9"/>
      <c r="D231" s="7"/>
      <c r="E231" s="7"/>
      <c r="F231" s="7"/>
      <c r="G231" s="7"/>
    </row>
    <row r="232">
      <c r="A232" s="7"/>
      <c r="B232" s="42"/>
      <c r="C232" s="9"/>
      <c r="D232" s="7"/>
      <c r="E232" s="7"/>
      <c r="F232" s="7"/>
      <c r="G232" s="7"/>
    </row>
    <row r="233">
      <c r="A233" s="7"/>
      <c r="B233" s="42"/>
      <c r="C233" s="9"/>
      <c r="D233" s="7"/>
      <c r="E233" s="7"/>
      <c r="F233" s="7"/>
      <c r="G233" s="7"/>
    </row>
    <row r="234">
      <c r="A234" s="7"/>
      <c r="B234" s="42"/>
      <c r="C234" s="9"/>
      <c r="D234" s="7"/>
      <c r="E234" s="7"/>
      <c r="F234" s="7"/>
      <c r="G234" s="7"/>
    </row>
    <row r="235">
      <c r="A235" s="7"/>
      <c r="B235" s="42"/>
      <c r="C235" s="9"/>
      <c r="D235" s="7"/>
      <c r="E235" s="7"/>
      <c r="F235" s="7"/>
      <c r="G235" s="7"/>
    </row>
    <row r="236">
      <c r="A236" s="7"/>
      <c r="B236" s="42"/>
      <c r="C236" s="9"/>
      <c r="D236" s="7"/>
      <c r="E236" s="7"/>
      <c r="F236" s="7"/>
      <c r="G236" s="7"/>
    </row>
    <row r="237">
      <c r="A237" s="7"/>
      <c r="B237" s="42"/>
      <c r="C237" s="9"/>
      <c r="D237" s="7"/>
      <c r="E237" s="7"/>
      <c r="F237" s="7"/>
      <c r="G237" s="7"/>
    </row>
    <row r="238">
      <c r="A238" s="7"/>
      <c r="B238" s="42"/>
      <c r="C238" s="9"/>
      <c r="D238" s="7"/>
      <c r="E238" s="7"/>
      <c r="F238" s="7"/>
      <c r="G238" s="7"/>
    </row>
    <row r="239">
      <c r="A239" s="7"/>
      <c r="B239" s="42"/>
      <c r="C239" s="9"/>
      <c r="D239" s="7"/>
      <c r="E239" s="7"/>
      <c r="F239" s="7"/>
      <c r="G239" s="7"/>
    </row>
    <row r="240">
      <c r="A240" s="7"/>
      <c r="B240" s="42"/>
      <c r="C240" s="9"/>
      <c r="D240" s="7"/>
      <c r="E240" s="7"/>
      <c r="F240" s="7"/>
      <c r="G240" s="7"/>
    </row>
    <row r="241">
      <c r="A241" s="7"/>
      <c r="B241" s="42"/>
      <c r="C241" s="9"/>
      <c r="D241" s="7"/>
      <c r="E241" s="7"/>
      <c r="F241" s="7"/>
      <c r="G241" s="7"/>
    </row>
    <row r="242">
      <c r="A242" s="7"/>
      <c r="B242" s="42"/>
      <c r="C242" s="9"/>
      <c r="D242" s="7"/>
      <c r="E242" s="7"/>
      <c r="F242" s="7"/>
      <c r="G242" s="7"/>
    </row>
    <row r="243">
      <c r="A243" s="7"/>
      <c r="B243" s="42"/>
      <c r="C243" s="9"/>
      <c r="D243" s="7"/>
      <c r="E243" s="7"/>
      <c r="F243" s="7"/>
      <c r="G243" s="7"/>
    </row>
    <row r="244">
      <c r="A244" s="7"/>
      <c r="B244" s="42"/>
      <c r="C244" s="9"/>
      <c r="D244" s="7"/>
      <c r="E244" s="7"/>
      <c r="F244" s="7"/>
      <c r="G244" s="7"/>
    </row>
    <row r="245">
      <c r="A245" s="7"/>
      <c r="B245" s="42"/>
      <c r="C245" s="9"/>
      <c r="D245" s="7"/>
      <c r="E245" s="7"/>
      <c r="F245" s="7"/>
      <c r="G245" s="7"/>
    </row>
    <row r="246">
      <c r="A246" s="7"/>
      <c r="B246" s="42"/>
      <c r="C246" s="9"/>
      <c r="D246" s="7"/>
      <c r="E246" s="7"/>
      <c r="F246" s="7"/>
      <c r="G246" s="7"/>
    </row>
    <row r="247">
      <c r="A247" s="7"/>
      <c r="B247" s="42"/>
      <c r="C247" s="9"/>
      <c r="D247" s="7"/>
      <c r="E247" s="7"/>
      <c r="F247" s="7"/>
      <c r="G247" s="7"/>
    </row>
    <row r="248">
      <c r="A248" s="7"/>
      <c r="B248" s="42"/>
      <c r="C248" s="9"/>
      <c r="D248" s="7"/>
      <c r="E248" s="7"/>
      <c r="F248" s="7"/>
      <c r="G248" s="7"/>
    </row>
    <row r="249">
      <c r="A249" s="7"/>
      <c r="B249" s="42"/>
      <c r="C249" s="9"/>
      <c r="D249" s="7"/>
      <c r="E249" s="7"/>
      <c r="F249" s="7"/>
      <c r="G249" s="7"/>
    </row>
    <row r="250">
      <c r="A250" s="7"/>
      <c r="B250" s="42"/>
      <c r="C250" s="9"/>
      <c r="D250" s="7"/>
      <c r="E250" s="7"/>
      <c r="F250" s="7"/>
      <c r="G250" s="7"/>
    </row>
    <row r="251">
      <c r="A251" s="7"/>
      <c r="B251" s="42"/>
      <c r="C251" s="9"/>
      <c r="D251" s="7"/>
      <c r="E251" s="7"/>
      <c r="F251" s="7"/>
      <c r="G251" s="7"/>
    </row>
    <row r="252">
      <c r="A252" s="7"/>
      <c r="B252" s="42"/>
      <c r="C252" s="9"/>
      <c r="D252" s="7"/>
      <c r="E252" s="7"/>
      <c r="F252" s="7"/>
      <c r="G252" s="7"/>
    </row>
    <row r="253">
      <c r="A253" s="7"/>
      <c r="B253" s="42"/>
      <c r="C253" s="9"/>
      <c r="D253" s="7"/>
      <c r="E253" s="7"/>
      <c r="F253" s="7"/>
      <c r="G253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4.13"/>
    <col customWidth="1" min="3" max="3" width="43.5"/>
    <col customWidth="1" min="4" max="4" width="18.63"/>
    <col customWidth="1" min="5" max="5" width="40.0"/>
    <col customWidth="1" min="6" max="6" width="51.75"/>
    <col customWidth="1" min="7" max="7" width="16.75"/>
    <col customWidth="1" min="8" max="8" width="3.5"/>
  </cols>
  <sheetData>
    <row r="1">
      <c r="A1" s="7"/>
      <c r="B1" s="7"/>
      <c r="C1" s="8"/>
      <c r="D1" s="7"/>
      <c r="E1" s="7"/>
      <c r="F1" s="7"/>
      <c r="G1" s="7"/>
      <c r="H1" s="7"/>
    </row>
    <row r="2">
      <c r="A2" s="7"/>
      <c r="B2" s="7"/>
      <c r="C2" s="8"/>
      <c r="D2" s="7"/>
      <c r="E2" s="7"/>
      <c r="F2" s="7"/>
      <c r="G2" s="7"/>
      <c r="H2" s="7"/>
    </row>
    <row r="3">
      <c r="A3" s="7"/>
      <c r="B3" s="7"/>
      <c r="C3" s="8"/>
      <c r="D3" s="7"/>
      <c r="E3" s="7"/>
      <c r="F3" s="7"/>
      <c r="G3" s="7"/>
      <c r="H3" s="7"/>
    </row>
    <row r="4">
      <c r="A4" s="7"/>
      <c r="B4" s="53" t="s">
        <v>67</v>
      </c>
      <c r="C4" s="53" t="s">
        <v>45</v>
      </c>
      <c r="D4" s="27" t="s">
        <v>241</v>
      </c>
      <c r="E4" s="27" t="s">
        <v>242</v>
      </c>
      <c r="F4" s="29" t="s">
        <v>243</v>
      </c>
      <c r="G4" s="29" t="s">
        <v>244</v>
      </c>
      <c r="H4" s="7"/>
    </row>
    <row r="5">
      <c r="A5" s="7"/>
      <c r="B5" s="31">
        <v>1.0</v>
      </c>
      <c r="C5" s="31" t="s">
        <v>90</v>
      </c>
      <c r="D5" s="15" t="s">
        <v>249</v>
      </c>
      <c r="E5" s="55" t="s">
        <v>250</v>
      </c>
      <c r="F5" s="56" t="s">
        <v>251</v>
      </c>
      <c r="G5" s="56" t="s">
        <v>252</v>
      </c>
      <c r="H5" s="7"/>
    </row>
    <row r="6">
      <c r="A6" s="7"/>
      <c r="B6" s="31">
        <v>2.0</v>
      </c>
      <c r="C6" s="31" t="s">
        <v>253</v>
      </c>
      <c r="D6" s="15" t="s">
        <v>254</v>
      </c>
      <c r="E6" s="55" t="s">
        <v>255</v>
      </c>
      <c r="F6" s="56" t="s">
        <v>251</v>
      </c>
      <c r="G6" s="56" t="s">
        <v>256</v>
      </c>
      <c r="H6" s="7"/>
    </row>
    <row r="7">
      <c r="A7" s="7"/>
      <c r="B7" s="31">
        <v>3.0</v>
      </c>
      <c r="C7" s="31" t="s">
        <v>257</v>
      </c>
      <c r="D7" s="15" t="s">
        <v>249</v>
      </c>
      <c r="E7" s="55" t="s">
        <v>250</v>
      </c>
      <c r="F7" s="56" t="s">
        <v>258</v>
      </c>
      <c r="G7" s="56" t="s">
        <v>256</v>
      </c>
      <c r="H7" s="7"/>
    </row>
    <row r="8">
      <c r="A8" s="7"/>
      <c r="B8" s="31">
        <v>4.0</v>
      </c>
      <c r="C8" s="31" t="s">
        <v>259</v>
      </c>
      <c r="D8" s="15" t="s">
        <v>249</v>
      </c>
      <c r="E8" s="55" t="s">
        <v>250</v>
      </c>
      <c r="F8" s="56" t="s">
        <v>260</v>
      </c>
      <c r="G8" s="56" t="s">
        <v>256</v>
      </c>
      <c r="H8" s="7"/>
    </row>
    <row r="9">
      <c r="A9" s="7"/>
      <c r="B9" s="31">
        <v>5.0</v>
      </c>
      <c r="C9" s="31" t="s">
        <v>261</v>
      </c>
      <c r="D9" s="15" t="s">
        <v>249</v>
      </c>
      <c r="E9" s="55" t="s">
        <v>250</v>
      </c>
      <c r="F9" s="56" t="s">
        <v>260</v>
      </c>
      <c r="G9" s="56" t="s">
        <v>256</v>
      </c>
      <c r="H9" s="7"/>
    </row>
    <row r="10">
      <c r="A10" s="7"/>
      <c r="B10" s="31">
        <v>6.0</v>
      </c>
      <c r="C10" s="31" t="s">
        <v>262</v>
      </c>
      <c r="D10" s="15" t="s">
        <v>249</v>
      </c>
      <c r="E10" s="55" t="s">
        <v>250</v>
      </c>
      <c r="F10" s="56" t="s">
        <v>260</v>
      </c>
      <c r="G10" s="56" t="s">
        <v>256</v>
      </c>
      <c r="H10" s="7"/>
    </row>
    <row r="11">
      <c r="A11" s="7"/>
      <c r="B11" s="31">
        <v>7.0</v>
      </c>
      <c r="C11" s="31" t="s">
        <v>263</v>
      </c>
      <c r="D11" s="15" t="s">
        <v>249</v>
      </c>
      <c r="E11" s="55" t="s">
        <v>250</v>
      </c>
      <c r="F11" s="56" t="s">
        <v>260</v>
      </c>
      <c r="G11" s="56" t="s">
        <v>252</v>
      </c>
      <c r="H11" s="7"/>
    </row>
    <row r="12">
      <c r="A12" s="7"/>
      <c r="B12" s="57">
        <v>8.0</v>
      </c>
      <c r="C12" s="57" t="s">
        <v>264</v>
      </c>
      <c r="D12" s="15" t="s">
        <v>254</v>
      </c>
      <c r="E12" s="55" t="s">
        <v>255</v>
      </c>
      <c r="F12" s="56" t="s">
        <v>260</v>
      </c>
      <c r="G12" s="56" t="s">
        <v>252</v>
      </c>
      <c r="H12" s="7"/>
    </row>
    <row r="13">
      <c r="A13" s="7"/>
      <c r="B13" s="31"/>
      <c r="C13" s="33"/>
      <c r="D13" s="32"/>
      <c r="E13" s="58"/>
      <c r="F13" s="35"/>
      <c r="G13" s="56"/>
      <c r="H13" s="7"/>
    </row>
    <row r="14">
      <c r="A14" s="7"/>
      <c r="B14" s="31"/>
      <c r="C14" s="33"/>
      <c r="D14" s="32"/>
      <c r="E14" s="32"/>
      <c r="F14" s="35"/>
      <c r="G14" s="35"/>
      <c r="H14" s="7"/>
    </row>
    <row r="15">
      <c r="A15" s="7"/>
      <c r="B15" s="31"/>
      <c r="C15" s="33"/>
      <c r="D15" s="32"/>
      <c r="E15" s="32"/>
      <c r="F15" s="38"/>
      <c r="G15" s="38"/>
      <c r="H15" s="7"/>
    </row>
    <row r="16">
      <c r="A16" s="7"/>
      <c r="B16" s="31"/>
      <c r="C16" s="33"/>
      <c r="D16" s="32"/>
      <c r="E16" s="32"/>
      <c r="F16" s="38"/>
      <c r="G16" s="38"/>
      <c r="H16" s="7"/>
    </row>
    <row r="17">
      <c r="A17" s="7"/>
      <c r="B17" s="31"/>
      <c r="C17" s="33"/>
      <c r="D17" s="32"/>
      <c r="E17" s="32"/>
      <c r="F17" s="38"/>
      <c r="G17" s="38"/>
      <c r="H17" s="7"/>
    </row>
    <row r="18">
      <c r="A18" s="7"/>
      <c r="B18" s="31"/>
      <c r="C18" s="33"/>
      <c r="D18" s="32"/>
      <c r="E18" s="32"/>
      <c r="F18" s="38"/>
      <c r="G18" s="38"/>
      <c r="H18" s="7"/>
    </row>
    <row r="19">
      <c r="A19" s="7"/>
      <c r="B19" s="31"/>
      <c r="C19" s="33"/>
      <c r="D19" s="32"/>
      <c r="E19" s="32"/>
      <c r="F19" s="38"/>
      <c r="G19" s="38"/>
      <c r="H19" s="7"/>
    </row>
    <row r="20">
      <c r="A20" s="7"/>
      <c r="B20" s="31"/>
      <c r="C20" s="33"/>
      <c r="D20" s="32"/>
      <c r="E20" s="32"/>
      <c r="F20" s="38"/>
      <c r="G20" s="38"/>
      <c r="H20" s="7"/>
    </row>
    <row r="21">
      <c r="A21" s="7"/>
      <c r="B21" s="31"/>
      <c r="C21" s="33"/>
      <c r="D21" s="32"/>
      <c r="E21" s="32"/>
      <c r="F21" s="38"/>
      <c r="G21" s="38"/>
      <c r="H21" s="7"/>
    </row>
    <row r="22">
      <c r="A22" s="7"/>
      <c r="B22" s="31"/>
      <c r="C22" s="33"/>
      <c r="D22" s="32"/>
      <c r="E22" s="32"/>
      <c r="F22" s="38"/>
      <c r="G22" s="38"/>
      <c r="H22" s="7"/>
    </row>
    <row r="23">
      <c r="A23" s="7"/>
      <c r="B23" s="31"/>
      <c r="C23" s="33"/>
      <c r="D23" s="32"/>
      <c r="E23" s="32"/>
      <c r="F23" s="38"/>
      <c r="G23" s="38"/>
      <c r="H23" s="7"/>
    </row>
    <row r="24">
      <c r="A24" s="7"/>
      <c r="B24" s="31"/>
      <c r="C24" s="33"/>
      <c r="D24" s="32"/>
      <c r="E24" s="32"/>
      <c r="F24" s="38"/>
      <c r="G24" s="38"/>
      <c r="H24" s="7"/>
    </row>
    <row r="25">
      <c r="A25" s="7"/>
      <c r="B25" s="31"/>
      <c r="C25" s="33"/>
      <c r="D25" s="32"/>
      <c r="E25" s="44"/>
      <c r="F25" s="38"/>
      <c r="G25" s="38"/>
      <c r="H25" s="7"/>
    </row>
    <row r="26">
      <c r="A26" s="7"/>
      <c r="B26" s="31"/>
      <c r="C26" s="33"/>
      <c r="D26" s="32"/>
      <c r="E26" s="44"/>
      <c r="F26" s="38"/>
      <c r="G26" s="38"/>
      <c r="H26" s="7"/>
    </row>
    <row r="27">
      <c r="A27" s="7"/>
      <c r="B27" s="31"/>
      <c r="C27" s="33"/>
      <c r="D27" s="32"/>
      <c r="E27" s="32"/>
      <c r="F27" s="38"/>
      <c r="G27" s="38"/>
      <c r="H27" s="7"/>
    </row>
    <row r="28">
      <c r="A28" s="7"/>
      <c r="B28" s="31"/>
      <c r="C28" s="33"/>
      <c r="D28" s="32"/>
      <c r="E28" s="32"/>
      <c r="F28" s="38"/>
      <c r="G28" s="38"/>
      <c r="H28" s="7"/>
    </row>
    <row r="29">
      <c r="A29" s="7"/>
      <c r="B29" s="33"/>
      <c r="C29" s="33"/>
      <c r="D29" s="33"/>
      <c r="E29" s="33"/>
      <c r="F29" s="33"/>
      <c r="G29" s="33"/>
      <c r="H29" s="33"/>
    </row>
    <row r="30">
      <c r="A30" s="7"/>
      <c r="B30" s="33"/>
      <c r="C30" s="32"/>
      <c r="D30" s="32"/>
      <c r="E30" s="32"/>
      <c r="F30" s="32"/>
      <c r="G30" s="32"/>
      <c r="H30" s="32"/>
    </row>
    <row r="31">
      <c r="A31" s="7"/>
      <c r="B31" s="31"/>
      <c r="C31" s="33"/>
      <c r="D31" s="32"/>
      <c r="E31" s="32"/>
      <c r="F31" s="38"/>
      <c r="G31" s="38"/>
      <c r="H31" s="7"/>
    </row>
    <row r="32">
      <c r="A32" s="7"/>
      <c r="B32" s="31"/>
      <c r="C32" s="33"/>
      <c r="D32" s="32"/>
      <c r="E32" s="32"/>
      <c r="F32" s="38"/>
      <c r="G32" s="38"/>
      <c r="H32" s="7"/>
    </row>
    <row r="33">
      <c r="A33" s="7"/>
      <c r="B33" s="31"/>
      <c r="C33" s="33"/>
      <c r="D33" s="32"/>
      <c r="E33" s="32"/>
      <c r="F33" s="38"/>
      <c r="G33" s="38"/>
      <c r="H33" s="7"/>
    </row>
    <row r="34">
      <c r="A34" s="7"/>
      <c r="B34" s="31"/>
      <c r="C34" s="33"/>
      <c r="D34" s="32"/>
      <c r="E34" s="32"/>
      <c r="F34" s="38"/>
      <c r="G34" s="38"/>
      <c r="H34" s="7"/>
    </row>
    <row r="35">
      <c r="A35" s="7"/>
      <c r="B35" s="31"/>
      <c r="C35" s="33"/>
      <c r="D35" s="32"/>
      <c r="E35" s="32"/>
      <c r="F35" s="38"/>
      <c r="G35" s="38"/>
      <c r="H35" s="7"/>
    </row>
    <row r="36">
      <c r="A36" s="7"/>
      <c r="B36" s="31"/>
      <c r="C36" s="33"/>
      <c r="D36" s="32"/>
      <c r="E36" s="32"/>
      <c r="F36" s="38"/>
      <c r="G36" s="38"/>
      <c r="H36" s="7"/>
    </row>
    <row r="37">
      <c r="A37" s="7"/>
      <c r="B37" s="31"/>
      <c r="C37" s="33"/>
      <c r="D37" s="32"/>
      <c r="E37" s="32"/>
      <c r="F37" s="38"/>
      <c r="G37" s="38"/>
      <c r="H37" s="7"/>
    </row>
    <row r="38">
      <c r="A38" s="7"/>
      <c r="B38" s="31"/>
      <c r="C38" s="33"/>
      <c r="D38" s="32"/>
      <c r="E38" s="32"/>
      <c r="F38" s="38"/>
      <c r="G38" s="38"/>
      <c r="H38" s="7"/>
    </row>
    <row r="39">
      <c r="A39" s="7"/>
      <c r="B39" s="31"/>
      <c r="C39" s="33"/>
      <c r="D39" s="32"/>
      <c r="E39" s="32"/>
      <c r="F39" s="38"/>
      <c r="G39" s="38"/>
      <c r="H39" s="7"/>
    </row>
    <row r="40">
      <c r="A40" s="7"/>
      <c r="B40" s="31"/>
      <c r="C40" s="33"/>
      <c r="D40" s="32"/>
      <c r="E40" s="32"/>
      <c r="F40" s="38"/>
      <c r="G40" s="38"/>
      <c r="H40" s="7"/>
    </row>
    <row r="41">
      <c r="A41" s="7"/>
      <c r="B41" s="31"/>
      <c r="C41" s="33"/>
      <c r="D41" s="32"/>
      <c r="E41" s="32"/>
      <c r="F41" s="38"/>
      <c r="G41" s="38"/>
      <c r="H41" s="7"/>
    </row>
    <row r="42">
      <c r="A42" s="7"/>
      <c r="B42" s="31"/>
      <c r="C42" s="33"/>
      <c r="D42" s="32"/>
      <c r="E42" s="32"/>
      <c r="F42" s="38"/>
      <c r="G42" s="38"/>
      <c r="H42" s="7"/>
    </row>
    <row r="43">
      <c r="A43" s="7"/>
      <c r="B43" s="31"/>
      <c r="C43" s="33"/>
      <c r="D43" s="32"/>
      <c r="E43" s="32"/>
      <c r="F43" s="38"/>
      <c r="G43" s="38"/>
      <c r="H43" s="7"/>
    </row>
    <row r="44">
      <c r="A44" s="7"/>
      <c r="B44" s="31"/>
      <c r="C44" s="33"/>
      <c r="D44" s="32"/>
      <c r="E44" s="32"/>
      <c r="F44" s="38"/>
      <c r="G44" s="38"/>
      <c r="H44" s="7"/>
    </row>
    <row r="45">
      <c r="A45" s="7"/>
      <c r="B45" s="31"/>
      <c r="C45" s="33"/>
      <c r="D45" s="32"/>
      <c r="E45" s="32"/>
      <c r="F45" s="38"/>
      <c r="G45" s="38"/>
      <c r="H45" s="7"/>
    </row>
    <row r="46">
      <c r="A46" s="7"/>
      <c r="B46" s="31"/>
      <c r="C46" s="33"/>
      <c r="D46" s="32"/>
      <c r="E46" s="32"/>
      <c r="F46" s="38"/>
      <c r="G46" s="38"/>
      <c r="H46" s="7"/>
    </row>
    <row r="47">
      <c r="A47" s="7"/>
      <c r="B47" s="31"/>
      <c r="C47" s="33"/>
      <c r="D47" s="32"/>
      <c r="E47" s="32"/>
      <c r="F47" s="38"/>
      <c r="G47" s="38"/>
      <c r="H47" s="7"/>
    </row>
    <row r="48">
      <c r="A48" s="7"/>
      <c r="B48" s="31"/>
      <c r="C48" s="33"/>
      <c r="D48" s="32"/>
      <c r="E48" s="32"/>
      <c r="F48" s="38"/>
      <c r="G48" s="38"/>
      <c r="H48" s="7"/>
    </row>
    <row r="49">
      <c r="A49" s="7"/>
      <c r="B49" s="31"/>
      <c r="C49" s="33"/>
      <c r="D49" s="32"/>
      <c r="E49" s="32"/>
      <c r="F49" s="38"/>
      <c r="G49" s="38"/>
      <c r="H49" s="7"/>
    </row>
    <row r="50">
      <c r="A50" s="7"/>
      <c r="B50" s="31"/>
      <c r="C50" s="33"/>
      <c r="D50" s="32"/>
      <c r="E50" s="32"/>
      <c r="F50" s="38"/>
      <c r="G50" s="38"/>
      <c r="H50" s="7"/>
    </row>
    <row r="51">
      <c r="A51" s="7"/>
      <c r="B51" s="31"/>
      <c r="C51" s="33"/>
      <c r="D51" s="32"/>
      <c r="E51" s="32"/>
      <c r="F51" s="38"/>
      <c r="G51" s="38"/>
      <c r="H51" s="7"/>
    </row>
    <row r="52">
      <c r="A52" s="7"/>
      <c r="B52" s="31"/>
      <c r="C52" s="33"/>
      <c r="D52" s="32"/>
      <c r="E52" s="32"/>
      <c r="F52" s="38"/>
      <c r="G52" s="38"/>
      <c r="H52" s="7"/>
    </row>
    <row r="53">
      <c r="A53" s="7"/>
      <c r="B53" s="31"/>
      <c r="C53" s="33"/>
      <c r="D53" s="32"/>
      <c r="E53" s="32"/>
      <c r="F53" s="38"/>
      <c r="G53" s="38"/>
      <c r="H53" s="7"/>
    </row>
    <row r="54">
      <c r="A54" s="7"/>
      <c r="B54" s="31"/>
      <c r="C54" s="33"/>
      <c r="D54" s="32"/>
      <c r="E54" s="32"/>
      <c r="F54" s="38"/>
      <c r="G54" s="38"/>
      <c r="H54" s="7"/>
    </row>
    <row r="55">
      <c r="A55" s="7"/>
      <c r="B55" s="31"/>
      <c r="C55" s="33"/>
      <c r="D55" s="32"/>
      <c r="E55" s="32"/>
      <c r="F55" s="38"/>
      <c r="G55" s="38"/>
      <c r="H55" s="7"/>
    </row>
    <row r="56">
      <c r="A56" s="7"/>
      <c r="B56" s="31"/>
      <c r="C56" s="33"/>
      <c r="D56" s="32"/>
      <c r="E56" s="32"/>
      <c r="F56" s="38"/>
      <c r="G56" s="38"/>
      <c r="H56" s="7"/>
    </row>
    <row r="57">
      <c r="A57" s="7"/>
      <c r="B57" s="42"/>
      <c r="C57" s="9"/>
      <c r="D57" s="7"/>
      <c r="E57" s="7"/>
      <c r="F57" s="42"/>
      <c r="G57" s="42"/>
      <c r="H57" s="7"/>
    </row>
    <row r="58">
      <c r="A58" s="7"/>
      <c r="B58" s="42"/>
      <c r="C58" s="9"/>
      <c r="D58" s="7"/>
      <c r="E58" s="7"/>
      <c r="F58" s="42"/>
      <c r="G58" s="42"/>
      <c r="H58" s="7"/>
    </row>
    <row r="59">
      <c r="A59" s="7"/>
      <c r="B59" s="42"/>
      <c r="C59" s="9"/>
      <c r="D59" s="7"/>
      <c r="E59" s="7"/>
      <c r="F59" s="42"/>
      <c r="G59" s="42"/>
      <c r="H59" s="7"/>
    </row>
    <row r="60">
      <c r="A60" s="7"/>
      <c r="B60" s="42"/>
      <c r="C60" s="9"/>
      <c r="D60" s="7"/>
      <c r="E60" s="7"/>
      <c r="F60" s="42"/>
      <c r="G60" s="42"/>
      <c r="H60" s="7"/>
    </row>
    <row r="61">
      <c r="A61" s="7"/>
      <c r="B61" s="42"/>
      <c r="C61" s="9"/>
      <c r="D61" s="7"/>
      <c r="E61" s="7"/>
      <c r="F61" s="42"/>
      <c r="G61" s="42"/>
      <c r="H61" s="7"/>
    </row>
    <row r="62">
      <c r="A62" s="7"/>
      <c r="B62" s="42"/>
      <c r="C62" s="9"/>
      <c r="D62" s="7"/>
      <c r="E62" s="7"/>
      <c r="F62" s="42"/>
      <c r="G62" s="42"/>
      <c r="H62" s="7"/>
    </row>
    <row r="63">
      <c r="A63" s="7"/>
      <c r="B63" s="42"/>
      <c r="C63" s="9"/>
      <c r="D63" s="7"/>
      <c r="E63" s="7"/>
      <c r="F63" s="42"/>
      <c r="G63" s="42"/>
      <c r="H63" s="7"/>
    </row>
    <row r="64">
      <c r="A64" s="7"/>
      <c r="B64" s="42"/>
      <c r="C64" s="9"/>
      <c r="D64" s="7"/>
      <c r="E64" s="7"/>
      <c r="F64" s="42"/>
      <c r="G64" s="42"/>
      <c r="H64" s="7"/>
    </row>
    <row r="65">
      <c r="A65" s="7"/>
      <c r="B65" s="42"/>
      <c r="C65" s="9"/>
      <c r="D65" s="7"/>
      <c r="E65" s="7"/>
      <c r="F65" s="42"/>
      <c r="G65" s="42"/>
      <c r="H65" s="7"/>
    </row>
    <row r="66">
      <c r="A66" s="7"/>
      <c r="B66" s="42"/>
      <c r="C66" s="9"/>
      <c r="D66" s="7"/>
      <c r="E66" s="7"/>
      <c r="F66" s="42"/>
      <c r="G66" s="42"/>
      <c r="H66" s="7"/>
    </row>
    <row r="67">
      <c r="A67" s="7"/>
      <c r="B67" s="42"/>
      <c r="C67" s="9"/>
      <c r="D67" s="7"/>
      <c r="E67" s="7"/>
      <c r="F67" s="42"/>
      <c r="G67" s="42"/>
      <c r="H67" s="7"/>
    </row>
    <row r="68">
      <c r="A68" s="7"/>
      <c r="B68" s="42"/>
      <c r="C68" s="9"/>
      <c r="D68" s="7"/>
      <c r="E68" s="7"/>
      <c r="F68" s="42"/>
      <c r="G68" s="42"/>
      <c r="H68" s="7"/>
    </row>
    <row r="69">
      <c r="A69" s="7"/>
      <c r="B69" s="42"/>
      <c r="C69" s="9"/>
      <c r="D69" s="7"/>
      <c r="E69" s="7"/>
      <c r="F69" s="42"/>
      <c r="G69" s="42"/>
      <c r="H69" s="7"/>
    </row>
    <row r="70">
      <c r="A70" s="7"/>
      <c r="B70" s="42"/>
      <c r="C70" s="9"/>
      <c r="D70" s="7"/>
      <c r="E70" s="7"/>
      <c r="F70" s="42"/>
      <c r="G70" s="42"/>
      <c r="H70" s="7"/>
    </row>
    <row r="71">
      <c r="A71" s="7"/>
      <c r="B71" s="42"/>
      <c r="C71" s="9"/>
      <c r="D71" s="7"/>
      <c r="E71" s="7"/>
      <c r="F71" s="42"/>
      <c r="G71" s="42"/>
      <c r="H71" s="7"/>
    </row>
    <row r="72">
      <c r="A72" s="7"/>
      <c r="B72" s="42"/>
      <c r="C72" s="9"/>
      <c r="D72" s="7"/>
      <c r="E72" s="7"/>
      <c r="F72" s="42"/>
      <c r="G72" s="42"/>
      <c r="H72" s="7"/>
    </row>
    <row r="73">
      <c r="A73" s="7"/>
      <c r="B73" s="42"/>
      <c r="C73" s="9"/>
      <c r="D73" s="7"/>
      <c r="E73" s="7"/>
      <c r="F73" s="42"/>
      <c r="G73" s="42"/>
      <c r="H73" s="7"/>
    </row>
    <row r="74">
      <c r="A74" s="7"/>
      <c r="B74" s="42"/>
      <c r="C74" s="9"/>
      <c r="D74" s="7"/>
      <c r="E74" s="7"/>
      <c r="F74" s="42"/>
      <c r="G74" s="42"/>
      <c r="H74" s="7"/>
    </row>
    <row r="75">
      <c r="A75" s="7"/>
      <c r="B75" s="42"/>
      <c r="C75" s="9"/>
      <c r="D75" s="7"/>
      <c r="E75" s="7"/>
      <c r="F75" s="42"/>
      <c r="G75" s="42"/>
      <c r="H75" s="7"/>
    </row>
    <row r="76">
      <c r="A76" s="7"/>
      <c r="B76" s="42"/>
      <c r="C76" s="9"/>
      <c r="D76" s="7"/>
      <c r="E76" s="7"/>
      <c r="F76" s="42"/>
      <c r="G76" s="42"/>
      <c r="H76" s="7"/>
    </row>
    <row r="77">
      <c r="A77" s="7"/>
      <c r="B77" s="42"/>
      <c r="C77" s="9"/>
      <c r="D77" s="7"/>
      <c r="E77" s="7"/>
      <c r="F77" s="42"/>
      <c r="G77" s="42"/>
      <c r="H77" s="7"/>
    </row>
    <row r="78">
      <c r="A78" s="7"/>
      <c r="B78" s="42"/>
      <c r="C78" s="9"/>
      <c r="D78" s="7"/>
      <c r="E78" s="7"/>
      <c r="F78" s="42"/>
      <c r="G78" s="42"/>
      <c r="H78" s="7"/>
    </row>
    <row r="79">
      <c r="A79" s="7"/>
      <c r="B79" s="42"/>
      <c r="C79" s="9"/>
      <c r="D79" s="7"/>
      <c r="E79" s="7"/>
      <c r="F79" s="42"/>
      <c r="G79" s="42"/>
      <c r="H79" s="7"/>
    </row>
    <row r="80">
      <c r="A80" s="7"/>
      <c r="B80" s="42"/>
      <c r="C80" s="9"/>
      <c r="D80" s="7"/>
      <c r="E80" s="7"/>
      <c r="F80" s="42"/>
      <c r="G80" s="42"/>
      <c r="H80" s="7"/>
    </row>
    <row r="81">
      <c r="A81" s="7"/>
      <c r="B81" s="42"/>
      <c r="C81" s="9"/>
      <c r="D81" s="7"/>
      <c r="E81" s="7"/>
      <c r="F81" s="42"/>
      <c r="G81" s="42"/>
      <c r="H81" s="7"/>
    </row>
    <row r="82">
      <c r="A82" s="7"/>
      <c r="B82" s="42"/>
      <c r="C82" s="9"/>
      <c r="D82" s="7"/>
      <c r="E82" s="7"/>
      <c r="F82" s="42"/>
      <c r="G82" s="42"/>
      <c r="H82" s="7"/>
    </row>
    <row r="83">
      <c r="A83" s="7"/>
      <c r="B83" s="42"/>
      <c r="C83" s="9"/>
      <c r="D83" s="7"/>
      <c r="E83" s="7"/>
      <c r="F83" s="42"/>
      <c r="G83" s="42"/>
      <c r="H83" s="7"/>
    </row>
    <row r="84">
      <c r="A84" s="7"/>
      <c r="B84" s="42"/>
      <c r="C84" s="9"/>
      <c r="D84" s="7"/>
      <c r="E84" s="7"/>
      <c r="F84" s="42"/>
      <c r="G84" s="42"/>
      <c r="H84" s="7"/>
    </row>
    <row r="85">
      <c r="A85" s="7"/>
      <c r="B85" s="42"/>
      <c r="C85" s="9"/>
      <c r="D85" s="7"/>
      <c r="E85" s="7"/>
      <c r="F85" s="42"/>
      <c r="G85" s="42"/>
      <c r="H85" s="7"/>
    </row>
    <row r="86">
      <c r="A86" s="7"/>
      <c r="B86" s="42"/>
      <c r="C86" s="9"/>
      <c r="D86" s="7"/>
      <c r="E86" s="7"/>
      <c r="F86" s="42"/>
      <c r="G86" s="42"/>
      <c r="H86" s="7"/>
    </row>
    <row r="87">
      <c r="A87" s="7"/>
      <c r="B87" s="42"/>
      <c r="C87" s="9"/>
      <c r="D87" s="7"/>
      <c r="E87" s="7"/>
      <c r="F87" s="42"/>
      <c r="G87" s="42"/>
      <c r="H87" s="7"/>
    </row>
    <row r="88">
      <c r="A88" s="7"/>
      <c r="B88" s="42"/>
      <c r="C88" s="9"/>
      <c r="D88" s="7"/>
      <c r="E88" s="7"/>
      <c r="F88" s="42"/>
      <c r="G88" s="42"/>
      <c r="H88" s="7"/>
    </row>
    <row r="89">
      <c r="A89" s="7"/>
      <c r="B89" s="42"/>
      <c r="C89" s="9"/>
      <c r="D89" s="7"/>
      <c r="E89" s="7"/>
      <c r="F89" s="42"/>
      <c r="G89" s="42"/>
      <c r="H89" s="7"/>
    </row>
    <row r="90">
      <c r="A90" s="7"/>
      <c r="B90" s="42"/>
      <c r="C90" s="9"/>
      <c r="D90" s="7"/>
      <c r="E90" s="7"/>
      <c r="F90" s="42"/>
      <c r="G90" s="42"/>
      <c r="H90" s="7"/>
    </row>
    <row r="91">
      <c r="A91" s="7"/>
      <c r="B91" s="42"/>
      <c r="C91" s="9"/>
      <c r="D91" s="7"/>
      <c r="E91" s="7"/>
      <c r="F91" s="42"/>
      <c r="G91" s="42"/>
      <c r="H91" s="7"/>
    </row>
    <row r="92">
      <c r="A92" s="7"/>
      <c r="B92" s="42"/>
      <c r="C92" s="9"/>
      <c r="D92" s="7"/>
      <c r="E92" s="7"/>
      <c r="F92" s="42"/>
      <c r="G92" s="42"/>
      <c r="H92" s="7"/>
    </row>
    <row r="93">
      <c r="A93" s="7"/>
      <c r="B93" s="42"/>
      <c r="C93" s="9"/>
      <c r="D93" s="7"/>
      <c r="E93" s="7"/>
      <c r="F93" s="42"/>
      <c r="G93" s="42"/>
      <c r="H93" s="7"/>
    </row>
    <row r="94">
      <c r="A94" s="7"/>
      <c r="B94" s="42"/>
      <c r="C94" s="9"/>
      <c r="D94" s="7"/>
      <c r="E94" s="7"/>
      <c r="F94" s="42"/>
      <c r="G94" s="42"/>
      <c r="H94" s="7"/>
    </row>
    <row r="95">
      <c r="A95" s="7"/>
      <c r="B95" s="42"/>
      <c r="C95" s="9"/>
      <c r="D95" s="7"/>
      <c r="E95" s="7"/>
      <c r="F95" s="42"/>
      <c r="G95" s="42"/>
      <c r="H95" s="7"/>
    </row>
    <row r="96">
      <c r="A96" s="7"/>
      <c r="B96" s="42"/>
      <c r="C96" s="9"/>
      <c r="D96" s="7"/>
      <c r="E96" s="7"/>
      <c r="F96" s="42"/>
      <c r="G96" s="42"/>
      <c r="H96" s="7"/>
    </row>
    <row r="97">
      <c r="A97" s="7"/>
      <c r="B97" s="42"/>
      <c r="C97" s="9"/>
      <c r="D97" s="7"/>
      <c r="E97" s="7"/>
      <c r="F97" s="42"/>
      <c r="G97" s="42"/>
      <c r="H97" s="7"/>
    </row>
    <row r="98">
      <c r="A98" s="7"/>
      <c r="B98" s="42"/>
      <c r="C98" s="9"/>
      <c r="D98" s="7"/>
      <c r="E98" s="7"/>
      <c r="F98" s="42"/>
      <c r="G98" s="42"/>
      <c r="H98" s="7"/>
    </row>
    <row r="99">
      <c r="A99" s="7"/>
      <c r="B99" s="42"/>
      <c r="C99" s="9"/>
      <c r="D99" s="7"/>
      <c r="E99" s="7"/>
      <c r="F99" s="42"/>
      <c r="G99" s="42"/>
      <c r="H99" s="7"/>
    </row>
    <row r="100">
      <c r="A100" s="7"/>
      <c r="B100" s="42"/>
      <c r="C100" s="9"/>
      <c r="D100" s="7"/>
      <c r="E100" s="7"/>
      <c r="F100" s="42"/>
      <c r="G100" s="42"/>
      <c r="H100" s="7"/>
    </row>
    <row r="101">
      <c r="A101" s="7"/>
      <c r="B101" s="42"/>
      <c r="C101" s="9"/>
      <c r="D101" s="7"/>
      <c r="E101" s="7"/>
      <c r="F101" s="42"/>
      <c r="G101" s="42"/>
      <c r="H101" s="7"/>
    </row>
    <row r="102">
      <c r="A102" s="7"/>
      <c r="B102" s="42"/>
      <c r="C102" s="9"/>
      <c r="D102" s="7"/>
      <c r="E102" s="7"/>
      <c r="F102" s="42"/>
      <c r="G102" s="42"/>
      <c r="H102" s="7"/>
    </row>
    <row r="103">
      <c r="A103" s="7"/>
      <c r="B103" s="42"/>
      <c r="C103" s="9"/>
      <c r="D103" s="7"/>
      <c r="E103" s="7"/>
      <c r="F103" s="42"/>
      <c r="G103" s="42"/>
      <c r="H103" s="7"/>
    </row>
    <row r="104">
      <c r="A104" s="7"/>
      <c r="B104" s="42"/>
      <c r="C104" s="9"/>
      <c r="D104" s="7"/>
      <c r="E104" s="7"/>
      <c r="F104" s="7"/>
      <c r="G104" s="7"/>
      <c r="H104" s="7"/>
    </row>
    <row r="105">
      <c r="A105" s="7"/>
      <c r="B105" s="42"/>
      <c r="C105" s="9"/>
      <c r="D105" s="7"/>
      <c r="E105" s="7"/>
      <c r="F105" s="7"/>
      <c r="G105" s="7"/>
      <c r="H105" s="7"/>
    </row>
    <row r="106">
      <c r="A106" s="7"/>
      <c r="B106" s="42"/>
      <c r="C106" s="9"/>
      <c r="D106" s="7"/>
      <c r="E106" s="7"/>
      <c r="F106" s="7"/>
      <c r="G106" s="7"/>
      <c r="H106" s="7"/>
    </row>
    <row r="107">
      <c r="A107" s="7"/>
      <c r="B107" s="42"/>
      <c r="C107" s="9"/>
      <c r="D107" s="7"/>
      <c r="E107" s="7"/>
      <c r="F107" s="7"/>
      <c r="G107" s="7"/>
      <c r="H107" s="7"/>
    </row>
    <row r="108">
      <c r="A108" s="7"/>
      <c r="B108" s="42"/>
      <c r="C108" s="9"/>
      <c r="D108" s="7"/>
      <c r="E108" s="7"/>
      <c r="F108" s="7"/>
      <c r="G108" s="7"/>
      <c r="H108" s="7"/>
    </row>
    <row r="109">
      <c r="A109" s="7"/>
      <c r="B109" s="42"/>
      <c r="C109" s="9"/>
      <c r="D109" s="7"/>
      <c r="E109" s="7"/>
      <c r="F109" s="7"/>
      <c r="G109" s="7"/>
      <c r="H109" s="7"/>
    </row>
    <row r="110">
      <c r="A110" s="7"/>
      <c r="B110" s="42"/>
      <c r="C110" s="9"/>
      <c r="D110" s="7"/>
      <c r="E110" s="7"/>
      <c r="F110" s="7"/>
      <c r="G110" s="7"/>
      <c r="H110" s="7"/>
    </row>
    <row r="111">
      <c r="A111" s="7"/>
      <c r="B111" s="42"/>
      <c r="C111" s="9"/>
      <c r="D111" s="7"/>
      <c r="E111" s="7"/>
      <c r="F111" s="7"/>
      <c r="G111" s="7"/>
      <c r="H111" s="7"/>
    </row>
    <row r="112">
      <c r="A112" s="7"/>
      <c r="B112" s="42"/>
      <c r="C112" s="9"/>
      <c r="D112" s="7"/>
      <c r="E112" s="7"/>
      <c r="F112" s="7"/>
      <c r="G112" s="7"/>
      <c r="H112" s="7"/>
    </row>
    <row r="113">
      <c r="A113" s="7"/>
      <c r="B113" s="42"/>
      <c r="C113" s="9"/>
      <c r="D113" s="7"/>
      <c r="E113" s="7"/>
      <c r="F113" s="7"/>
      <c r="G113" s="7"/>
      <c r="H113" s="7"/>
    </row>
    <row r="114">
      <c r="A114" s="7"/>
      <c r="B114" s="42"/>
      <c r="C114" s="9"/>
      <c r="D114" s="7"/>
      <c r="E114" s="7"/>
      <c r="F114" s="7"/>
      <c r="G114" s="7"/>
      <c r="H114" s="7"/>
    </row>
    <row r="115">
      <c r="A115" s="7"/>
      <c r="B115" s="42"/>
      <c r="C115" s="9"/>
      <c r="D115" s="7"/>
      <c r="E115" s="7"/>
      <c r="F115" s="7"/>
      <c r="G115" s="7"/>
      <c r="H115" s="7"/>
    </row>
    <row r="116">
      <c r="A116" s="7"/>
      <c r="B116" s="42"/>
      <c r="C116" s="9"/>
      <c r="D116" s="7"/>
      <c r="E116" s="7"/>
      <c r="F116" s="7"/>
      <c r="G116" s="7"/>
      <c r="H116" s="7"/>
    </row>
    <row r="117">
      <c r="A117" s="7"/>
      <c r="B117" s="42"/>
      <c r="C117" s="9"/>
      <c r="D117" s="7"/>
      <c r="E117" s="7"/>
      <c r="F117" s="7"/>
      <c r="G117" s="7"/>
      <c r="H117" s="7"/>
    </row>
    <row r="118">
      <c r="A118" s="7"/>
      <c r="B118" s="42"/>
      <c r="C118" s="9"/>
      <c r="D118" s="7"/>
      <c r="E118" s="7"/>
      <c r="F118" s="7"/>
      <c r="G118" s="7"/>
      <c r="H118" s="7"/>
    </row>
    <row r="119">
      <c r="A119" s="7"/>
      <c r="B119" s="42"/>
      <c r="C119" s="9"/>
      <c r="D119" s="7"/>
      <c r="E119" s="7"/>
      <c r="F119" s="7"/>
      <c r="G119" s="7"/>
      <c r="H119" s="7"/>
    </row>
    <row r="120">
      <c r="A120" s="7"/>
      <c r="B120" s="42"/>
      <c r="C120" s="9"/>
      <c r="D120" s="7"/>
      <c r="E120" s="7"/>
      <c r="F120" s="7"/>
      <c r="G120" s="7"/>
      <c r="H120" s="7"/>
    </row>
    <row r="121">
      <c r="A121" s="7"/>
      <c r="B121" s="42"/>
      <c r="C121" s="9"/>
      <c r="D121" s="7"/>
      <c r="E121" s="7"/>
      <c r="F121" s="7"/>
      <c r="G121" s="7"/>
      <c r="H121" s="7"/>
    </row>
    <row r="122">
      <c r="A122" s="7"/>
      <c r="B122" s="42"/>
      <c r="C122" s="9"/>
      <c r="D122" s="7"/>
      <c r="E122" s="7"/>
      <c r="F122" s="7"/>
      <c r="G122" s="7"/>
      <c r="H122" s="7"/>
    </row>
    <row r="123">
      <c r="A123" s="7"/>
      <c r="B123" s="42"/>
      <c r="C123" s="9"/>
      <c r="D123" s="7"/>
      <c r="E123" s="7"/>
      <c r="F123" s="7"/>
      <c r="G123" s="7"/>
      <c r="H123" s="7"/>
    </row>
    <row r="124">
      <c r="A124" s="7"/>
      <c r="B124" s="42"/>
      <c r="C124" s="9"/>
      <c r="D124" s="7"/>
      <c r="E124" s="7"/>
      <c r="F124" s="7"/>
      <c r="G124" s="7"/>
      <c r="H124" s="7"/>
    </row>
    <row r="125">
      <c r="A125" s="7"/>
      <c r="B125" s="42"/>
      <c r="C125" s="9"/>
      <c r="D125" s="7"/>
      <c r="E125" s="7"/>
      <c r="F125" s="7"/>
      <c r="G125" s="7"/>
      <c r="H125" s="7"/>
    </row>
    <row r="126">
      <c r="A126" s="7"/>
      <c r="B126" s="42"/>
      <c r="C126" s="9"/>
      <c r="D126" s="7"/>
      <c r="E126" s="7"/>
      <c r="F126" s="7"/>
      <c r="G126" s="7"/>
      <c r="H126" s="7"/>
    </row>
    <row r="127">
      <c r="A127" s="7"/>
      <c r="B127" s="42"/>
      <c r="C127" s="9"/>
      <c r="D127" s="7"/>
      <c r="E127" s="7"/>
      <c r="F127" s="7"/>
      <c r="G127" s="7"/>
      <c r="H127" s="7"/>
    </row>
    <row r="128">
      <c r="A128" s="7"/>
      <c r="B128" s="42"/>
      <c r="C128" s="9"/>
      <c r="D128" s="7"/>
      <c r="E128" s="7"/>
      <c r="F128" s="7"/>
      <c r="G128" s="7"/>
      <c r="H128" s="7"/>
    </row>
    <row r="129">
      <c r="A129" s="7"/>
      <c r="B129" s="42"/>
      <c r="C129" s="9"/>
      <c r="D129" s="7"/>
      <c r="E129" s="7"/>
      <c r="F129" s="7"/>
      <c r="G129" s="7"/>
      <c r="H129" s="7"/>
    </row>
    <row r="130">
      <c r="A130" s="7"/>
      <c r="B130" s="42"/>
      <c r="C130" s="9"/>
      <c r="D130" s="7"/>
      <c r="E130" s="7"/>
      <c r="F130" s="7"/>
      <c r="G130" s="7"/>
      <c r="H130" s="7"/>
    </row>
    <row r="131">
      <c r="A131" s="7"/>
      <c r="B131" s="42"/>
      <c r="C131" s="9"/>
      <c r="D131" s="7"/>
      <c r="E131" s="7"/>
      <c r="F131" s="7"/>
      <c r="G131" s="7"/>
      <c r="H131" s="7"/>
    </row>
    <row r="132">
      <c r="A132" s="7"/>
      <c r="B132" s="42"/>
      <c r="C132" s="9"/>
      <c r="D132" s="7"/>
      <c r="E132" s="7"/>
      <c r="F132" s="7"/>
      <c r="G132" s="7"/>
      <c r="H132" s="7"/>
    </row>
    <row r="133">
      <c r="A133" s="7"/>
      <c r="B133" s="42"/>
      <c r="C133" s="9"/>
      <c r="D133" s="7"/>
      <c r="E133" s="7"/>
      <c r="F133" s="7"/>
      <c r="G133" s="7"/>
      <c r="H133" s="7"/>
    </row>
    <row r="134">
      <c r="A134" s="7"/>
      <c r="B134" s="42"/>
      <c r="C134" s="9"/>
      <c r="D134" s="7"/>
      <c r="E134" s="7"/>
      <c r="F134" s="7"/>
      <c r="G134" s="7"/>
      <c r="H134" s="7"/>
    </row>
    <row r="135">
      <c r="A135" s="7"/>
      <c r="B135" s="42"/>
      <c r="C135" s="9"/>
      <c r="D135" s="7"/>
      <c r="E135" s="7"/>
      <c r="F135" s="7"/>
      <c r="G135" s="7"/>
      <c r="H135" s="7"/>
    </row>
    <row r="136">
      <c r="A136" s="7"/>
      <c r="B136" s="42"/>
      <c r="C136" s="9"/>
      <c r="D136" s="7"/>
      <c r="E136" s="7"/>
      <c r="F136" s="7"/>
      <c r="G136" s="7"/>
      <c r="H136" s="7"/>
    </row>
    <row r="137">
      <c r="A137" s="7"/>
      <c r="B137" s="42"/>
      <c r="C137" s="9"/>
      <c r="D137" s="7"/>
      <c r="E137" s="7"/>
      <c r="F137" s="7"/>
      <c r="G137" s="7"/>
      <c r="H137" s="7"/>
    </row>
    <row r="138">
      <c r="A138" s="7"/>
      <c r="B138" s="42"/>
      <c r="C138" s="9"/>
      <c r="D138" s="7"/>
      <c r="E138" s="7"/>
      <c r="F138" s="7"/>
      <c r="G138" s="7"/>
      <c r="H138" s="7"/>
    </row>
    <row r="139">
      <c r="A139" s="7"/>
      <c r="B139" s="42"/>
      <c r="C139" s="9"/>
      <c r="D139" s="7"/>
      <c r="E139" s="7"/>
      <c r="F139" s="7"/>
      <c r="G139" s="7"/>
      <c r="H139" s="7"/>
    </row>
    <row r="140">
      <c r="A140" s="7"/>
      <c r="B140" s="42"/>
      <c r="C140" s="9"/>
      <c r="D140" s="7"/>
      <c r="E140" s="7"/>
      <c r="F140" s="7"/>
      <c r="G140" s="7"/>
      <c r="H140" s="7"/>
    </row>
    <row r="141">
      <c r="A141" s="7"/>
      <c r="B141" s="42"/>
      <c r="C141" s="9"/>
      <c r="D141" s="7"/>
      <c r="E141" s="7"/>
      <c r="F141" s="7"/>
      <c r="G141" s="7"/>
      <c r="H141" s="7"/>
    </row>
    <row r="142">
      <c r="A142" s="7"/>
      <c r="B142" s="42"/>
      <c r="C142" s="9"/>
      <c r="D142" s="7"/>
      <c r="E142" s="7"/>
      <c r="F142" s="7"/>
      <c r="G142" s="7"/>
      <c r="H142" s="7"/>
    </row>
    <row r="143">
      <c r="A143" s="7"/>
      <c r="B143" s="42"/>
      <c r="C143" s="9"/>
      <c r="D143" s="7"/>
      <c r="E143" s="7"/>
      <c r="F143" s="7"/>
      <c r="G143" s="7"/>
      <c r="H143" s="7"/>
    </row>
    <row r="144">
      <c r="A144" s="7"/>
      <c r="B144" s="42"/>
      <c r="C144" s="9"/>
      <c r="D144" s="7"/>
      <c r="E144" s="7"/>
      <c r="F144" s="7"/>
      <c r="G144" s="7"/>
      <c r="H144" s="7"/>
    </row>
    <row r="145">
      <c r="A145" s="7"/>
      <c r="B145" s="42"/>
      <c r="C145" s="9"/>
      <c r="D145" s="7"/>
      <c r="E145" s="7"/>
      <c r="F145" s="7"/>
      <c r="G145" s="7"/>
      <c r="H145" s="7"/>
    </row>
    <row r="146">
      <c r="A146" s="7"/>
      <c r="B146" s="42"/>
      <c r="C146" s="9"/>
      <c r="D146" s="7"/>
      <c r="E146" s="7"/>
      <c r="F146" s="7"/>
      <c r="G146" s="7"/>
      <c r="H146" s="7"/>
    </row>
    <row r="147">
      <c r="A147" s="7"/>
      <c r="B147" s="42"/>
      <c r="C147" s="9"/>
      <c r="D147" s="7"/>
      <c r="E147" s="7"/>
      <c r="F147" s="7"/>
      <c r="G147" s="7"/>
      <c r="H147" s="7"/>
    </row>
    <row r="148">
      <c r="A148" s="7"/>
      <c r="B148" s="42"/>
      <c r="C148" s="9"/>
      <c r="D148" s="7"/>
      <c r="E148" s="7"/>
      <c r="F148" s="7"/>
      <c r="G148" s="7"/>
      <c r="H148" s="7"/>
    </row>
    <row r="149">
      <c r="A149" s="7"/>
      <c r="B149" s="42"/>
      <c r="C149" s="9"/>
      <c r="D149" s="7"/>
      <c r="E149" s="7"/>
      <c r="F149" s="7"/>
      <c r="G149" s="7"/>
      <c r="H149" s="7"/>
    </row>
    <row r="150">
      <c r="A150" s="7"/>
      <c r="B150" s="42"/>
      <c r="C150" s="9"/>
      <c r="D150" s="7"/>
      <c r="E150" s="7"/>
      <c r="F150" s="7"/>
      <c r="G150" s="7"/>
      <c r="H150" s="7"/>
    </row>
    <row r="151">
      <c r="A151" s="7"/>
      <c r="B151" s="42"/>
      <c r="C151" s="9"/>
      <c r="D151" s="7"/>
      <c r="E151" s="7"/>
      <c r="F151" s="7"/>
      <c r="G151" s="7"/>
      <c r="H151" s="7"/>
    </row>
    <row r="152">
      <c r="A152" s="7"/>
      <c r="B152" s="42"/>
      <c r="C152" s="9"/>
      <c r="D152" s="7"/>
      <c r="E152" s="7"/>
      <c r="F152" s="7"/>
      <c r="G152" s="7"/>
      <c r="H152" s="7"/>
    </row>
    <row r="153">
      <c r="A153" s="7"/>
      <c r="B153" s="42"/>
      <c r="C153" s="9"/>
      <c r="D153" s="7"/>
      <c r="E153" s="7"/>
      <c r="F153" s="7"/>
      <c r="G153" s="7"/>
      <c r="H153" s="7"/>
    </row>
    <row r="154">
      <c r="A154" s="7"/>
      <c r="B154" s="42"/>
      <c r="C154" s="9"/>
      <c r="D154" s="7"/>
      <c r="E154" s="7"/>
      <c r="F154" s="7"/>
      <c r="G154" s="7"/>
      <c r="H154" s="7"/>
    </row>
    <row r="155">
      <c r="A155" s="7"/>
      <c r="B155" s="42"/>
      <c r="C155" s="9"/>
      <c r="D155" s="7"/>
      <c r="E155" s="7"/>
      <c r="F155" s="7"/>
      <c r="G155" s="7"/>
      <c r="H155" s="7"/>
    </row>
    <row r="156">
      <c r="A156" s="7"/>
      <c r="B156" s="42"/>
      <c r="C156" s="9"/>
      <c r="D156" s="7"/>
      <c r="E156" s="7"/>
      <c r="F156" s="7"/>
      <c r="G156" s="7"/>
      <c r="H156" s="7"/>
    </row>
    <row r="157">
      <c r="A157" s="7"/>
      <c r="B157" s="42"/>
      <c r="C157" s="9"/>
      <c r="D157" s="7"/>
      <c r="E157" s="7"/>
      <c r="F157" s="7"/>
      <c r="G157" s="7"/>
      <c r="H157" s="7"/>
    </row>
    <row r="158">
      <c r="A158" s="7"/>
      <c r="B158" s="42"/>
      <c r="C158" s="9"/>
      <c r="D158" s="7"/>
      <c r="E158" s="7"/>
      <c r="F158" s="7"/>
      <c r="G158" s="7"/>
      <c r="H158" s="7"/>
    </row>
    <row r="159">
      <c r="A159" s="7"/>
      <c r="B159" s="42"/>
      <c r="C159" s="9"/>
      <c r="D159" s="7"/>
      <c r="E159" s="7"/>
      <c r="F159" s="7"/>
      <c r="G159" s="7"/>
      <c r="H159" s="7"/>
    </row>
    <row r="160">
      <c r="A160" s="7"/>
      <c r="B160" s="42"/>
      <c r="C160" s="9"/>
      <c r="D160" s="7"/>
      <c r="E160" s="7"/>
      <c r="F160" s="7"/>
      <c r="G160" s="7"/>
      <c r="H160" s="7"/>
    </row>
    <row r="161">
      <c r="A161" s="7"/>
      <c r="B161" s="42"/>
      <c r="C161" s="9"/>
      <c r="D161" s="7"/>
      <c r="E161" s="7"/>
      <c r="F161" s="7"/>
      <c r="G161" s="7"/>
      <c r="H161" s="7"/>
    </row>
    <row r="162">
      <c r="A162" s="7"/>
      <c r="B162" s="42"/>
      <c r="C162" s="9"/>
      <c r="D162" s="7"/>
      <c r="E162" s="7"/>
      <c r="F162" s="7"/>
      <c r="G162" s="7"/>
      <c r="H162" s="7"/>
    </row>
    <row r="163">
      <c r="A163" s="7"/>
      <c r="B163" s="42"/>
      <c r="C163" s="9"/>
      <c r="D163" s="7"/>
      <c r="E163" s="7"/>
      <c r="F163" s="7"/>
      <c r="G163" s="7"/>
      <c r="H163" s="7"/>
    </row>
    <row r="164">
      <c r="A164" s="7"/>
      <c r="B164" s="42"/>
      <c r="C164" s="9"/>
      <c r="D164" s="7"/>
      <c r="E164" s="7"/>
      <c r="F164" s="7"/>
      <c r="G164" s="7"/>
      <c r="H164" s="7"/>
    </row>
    <row r="165">
      <c r="A165" s="7"/>
      <c r="B165" s="42"/>
      <c r="C165" s="9"/>
      <c r="D165" s="7"/>
      <c r="E165" s="7"/>
      <c r="F165" s="7"/>
      <c r="G165" s="7"/>
      <c r="H165" s="7"/>
    </row>
    <row r="166">
      <c r="A166" s="7"/>
      <c r="B166" s="42"/>
      <c r="C166" s="9"/>
      <c r="D166" s="7"/>
      <c r="E166" s="7"/>
      <c r="F166" s="7"/>
      <c r="G166" s="7"/>
      <c r="H166" s="7"/>
    </row>
    <row r="167">
      <c r="A167" s="7"/>
      <c r="B167" s="42"/>
      <c r="C167" s="9"/>
      <c r="D167" s="7"/>
      <c r="E167" s="7"/>
      <c r="F167" s="7"/>
      <c r="G167" s="7"/>
      <c r="H167" s="7"/>
    </row>
    <row r="168">
      <c r="A168" s="7"/>
      <c r="B168" s="42"/>
      <c r="C168" s="9"/>
      <c r="D168" s="7"/>
      <c r="E168" s="7"/>
      <c r="F168" s="7"/>
      <c r="G168" s="7"/>
      <c r="H168" s="7"/>
    </row>
    <row r="169">
      <c r="A169" s="7"/>
      <c r="B169" s="42"/>
      <c r="C169" s="9"/>
      <c r="D169" s="7"/>
      <c r="E169" s="7"/>
      <c r="F169" s="7"/>
      <c r="G169" s="7"/>
      <c r="H169" s="7"/>
    </row>
    <row r="170">
      <c r="A170" s="7"/>
      <c r="B170" s="42"/>
      <c r="C170" s="9"/>
      <c r="D170" s="7"/>
      <c r="E170" s="7"/>
      <c r="F170" s="7"/>
      <c r="G170" s="7"/>
      <c r="H170" s="7"/>
    </row>
    <row r="171">
      <c r="A171" s="7"/>
      <c r="B171" s="42"/>
      <c r="C171" s="9"/>
      <c r="D171" s="7"/>
      <c r="E171" s="7"/>
      <c r="F171" s="7"/>
      <c r="G171" s="7"/>
      <c r="H171" s="7"/>
    </row>
    <row r="172">
      <c r="A172" s="7"/>
      <c r="B172" s="42"/>
      <c r="C172" s="9"/>
      <c r="D172" s="7"/>
      <c r="E172" s="7"/>
      <c r="F172" s="7"/>
      <c r="G172" s="7"/>
      <c r="H172" s="7"/>
    </row>
    <row r="173">
      <c r="A173" s="7"/>
      <c r="B173" s="42"/>
      <c r="C173" s="9"/>
      <c r="D173" s="7"/>
      <c r="E173" s="7"/>
      <c r="F173" s="7"/>
      <c r="G173" s="7"/>
      <c r="H173" s="7"/>
    </row>
    <row r="174">
      <c r="A174" s="7"/>
      <c r="B174" s="42"/>
      <c r="C174" s="9"/>
      <c r="D174" s="7"/>
      <c r="E174" s="7"/>
      <c r="F174" s="7"/>
      <c r="G174" s="7"/>
      <c r="H174" s="7"/>
    </row>
    <row r="175">
      <c r="A175" s="7"/>
      <c r="B175" s="42"/>
      <c r="C175" s="9"/>
      <c r="D175" s="7"/>
      <c r="E175" s="7"/>
      <c r="F175" s="7"/>
      <c r="G175" s="7"/>
      <c r="H175" s="7"/>
    </row>
    <row r="176">
      <c r="A176" s="7"/>
      <c r="B176" s="42"/>
      <c r="C176" s="9"/>
      <c r="D176" s="7"/>
      <c r="E176" s="7"/>
      <c r="F176" s="7"/>
      <c r="G176" s="7"/>
      <c r="H176" s="7"/>
    </row>
    <row r="177">
      <c r="A177" s="7"/>
      <c r="B177" s="42"/>
      <c r="C177" s="9"/>
      <c r="D177" s="7"/>
      <c r="E177" s="7"/>
      <c r="F177" s="7"/>
      <c r="G177" s="7"/>
      <c r="H177" s="7"/>
    </row>
    <row r="178">
      <c r="A178" s="7"/>
      <c r="B178" s="42"/>
      <c r="C178" s="9"/>
      <c r="D178" s="7"/>
      <c r="E178" s="7"/>
      <c r="F178" s="7"/>
      <c r="G178" s="7"/>
      <c r="H178" s="7"/>
    </row>
    <row r="179">
      <c r="A179" s="7"/>
      <c r="B179" s="42"/>
      <c r="C179" s="9"/>
      <c r="D179" s="7"/>
      <c r="E179" s="7"/>
      <c r="F179" s="7"/>
      <c r="G179" s="7"/>
      <c r="H179" s="7"/>
    </row>
    <row r="180">
      <c r="A180" s="7"/>
      <c r="B180" s="42"/>
      <c r="C180" s="9"/>
      <c r="D180" s="7"/>
      <c r="E180" s="7"/>
      <c r="F180" s="7"/>
      <c r="G180" s="7"/>
      <c r="H180" s="7"/>
    </row>
    <row r="181">
      <c r="A181" s="7"/>
      <c r="B181" s="42"/>
      <c r="C181" s="9"/>
      <c r="D181" s="7"/>
      <c r="E181" s="7"/>
      <c r="F181" s="7"/>
      <c r="G181" s="7"/>
      <c r="H181" s="7"/>
    </row>
    <row r="182">
      <c r="A182" s="7"/>
      <c r="B182" s="42"/>
      <c r="C182" s="9"/>
      <c r="D182" s="7"/>
      <c r="E182" s="7"/>
      <c r="F182" s="7"/>
      <c r="G182" s="7"/>
      <c r="H182" s="7"/>
    </row>
    <row r="183">
      <c r="A183" s="7"/>
      <c r="B183" s="42"/>
      <c r="C183" s="9"/>
      <c r="D183" s="7"/>
      <c r="E183" s="7"/>
      <c r="F183" s="7"/>
      <c r="G183" s="7"/>
      <c r="H183" s="7"/>
    </row>
    <row r="184">
      <c r="A184" s="7"/>
      <c r="B184" s="42"/>
      <c r="C184" s="9"/>
      <c r="D184" s="7"/>
      <c r="E184" s="7"/>
      <c r="F184" s="7"/>
      <c r="G184" s="7"/>
      <c r="H184" s="7"/>
    </row>
    <row r="185">
      <c r="A185" s="7"/>
      <c r="B185" s="42"/>
      <c r="C185" s="9"/>
      <c r="D185" s="7"/>
      <c r="E185" s="7"/>
      <c r="F185" s="7"/>
      <c r="G185" s="7"/>
      <c r="H185" s="7"/>
    </row>
    <row r="186">
      <c r="A186" s="7"/>
      <c r="B186" s="42"/>
      <c r="C186" s="9"/>
      <c r="D186" s="7"/>
      <c r="E186" s="7"/>
      <c r="F186" s="7"/>
      <c r="G186" s="7"/>
      <c r="H186" s="7"/>
    </row>
    <row r="187">
      <c r="A187" s="7"/>
      <c r="B187" s="42"/>
      <c r="C187" s="9"/>
      <c r="D187" s="7"/>
      <c r="E187" s="7"/>
      <c r="F187" s="7"/>
      <c r="G187" s="7"/>
      <c r="H187" s="7"/>
    </row>
    <row r="188">
      <c r="A188" s="7"/>
      <c r="B188" s="42"/>
      <c r="C188" s="9"/>
      <c r="D188" s="7"/>
      <c r="E188" s="7"/>
      <c r="F188" s="7"/>
      <c r="G188" s="7"/>
      <c r="H188" s="7"/>
    </row>
    <row r="189">
      <c r="A189" s="7"/>
      <c r="B189" s="42"/>
      <c r="C189" s="9"/>
      <c r="D189" s="7"/>
      <c r="E189" s="7"/>
      <c r="F189" s="7"/>
      <c r="G189" s="7"/>
      <c r="H189" s="7"/>
    </row>
    <row r="190">
      <c r="A190" s="7"/>
      <c r="B190" s="42"/>
      <c r="C190" s="9"/>
      <c r="D190" s="7"/>
      <c r="E190" s="7"/>
      <c r="F190" s="7"/>
      <c r="G190" s="7"/>
      <c r="H190" s="7"/>
    </row>
    <row r="191">
      <c r="A191" s="7"/>
      <c r="B191" s="42"/>
      <c r="C191" s="9"/>
      <c r="D191" s="7"/>
      <c r="E191" s="7"/>
      <c r="F191" s="7"/>
      <c r="G191" s="7"/>
      <c r="H191" s="7"/>
    </row>
    <row r="192">
      <c r="A192" s="7"/>
      <c r="B192" s="42"/>
      <c r="C192" s="9"/>
      <c r="D192" s="7"/>
      <c r="E192" s="7"/>
      <c r="F192" s="7"/>
      <c r="G192" s="7"/>
      <c r="H192" s="7"/>
    </row>
    <row r="193">
      <c r="A193" s="7"/>
      <c r="B193" s="42"/>
      <c r="C193" s="9"/>
      <c r="D193" s="7"/>
      <c r="E193" s="7"/>
      <c r="F193" s="7"/>
      <c r="G193" s="7"/>
      <c r="H193" s="7"/>
    </row>
    <row r="194">
      <c r="A194" s="7"/>
      <c r="B194" s="42"/>
      <c r="C194" s="9"/>
      <c r="D194" s="7"/>
      <c r="E194" s="7"/>
      <c r="F194" s="7"/>
      <c r="G194" s="7"/>
      <c r="H194" s="7"/>
    </row>
    <row r="195">
      <c r="A195" s="7"/>
      <c r="B195" s="42"/>
      <c r="C195" s="9"/>
      <c r="D195" s="7"/>
      <c r="E195" s="7"/>
      <c r="F195" s="7"/>
      <c r="G195" s="7"/>
      <c r="H195" s="7"/>
    </row>
    <row r="196">
      <c r="A196" s="7"/>
      <c r="B196" s="42"/>
      <c r="C196" s="9"/>
      <c r="D196" s="7"/>
      <c r="E196" s="7"/>
      <c r="F196" s="7"/>
      <c r="G196" s="7"/>
      <c r="H196" s="7"/>
    </row>
    <row r="197">
      <c r="A197" s="7"/>
      <c r="B197" s="42"/>
      <c r="C197" s="9"/>
      <c r="D197" s="7"/>
      <c r="E197" s="7"/>
      <c r="F197" s="7"/>
      <c r="G197" s="7"/>
      <c r="H197" s="7"/>
    </row>
    <row r="198">
      <c r="A198" s="7"/>
      <c r="B198" s="42"/>
      <c r="C198" s="9"/>
      <c r="D198" s="7"/>
      <c r="E198" s="7"/>
      <c r="F198" s="7"/>
      <c r="G198" s="7"/>
      <c r="H198" s="7"/>
    </row>
    <row r="199">
      <c r="A199" s="7"/>
      <c r="B199" s="42"/>
      <c r="C199" s="9"/>
      <c r="D199" s="7"/>
      <c r="E199" s="7"/>
      <c r="F199" s="7"/>
      <c r="G199" s="7"/>
      <c r="H199" s="7"/>
    </row>
    <row r="200">
      <c r="A200" s="7"/>
      <c r="B200" s="42"/>
      <c r="C200" s="9"/>
      <c r="D200" s="7"/>
      <c r="E200" s="7"/>
      <c r="F200" s="7"/>
      <c r="G200" s="7"/>
      <c r="H200" s="7"/>
    </row>
    <row r="201">
      <c r="A201" s="7"/>
      <c r="B201" s="42"/>
      <c r="C201" s="9"/>
      <c r="D201" s="7"/>
      <c r="E201" s="7"/>
      <c r="F201" s="7"/>
      <c r="G201" s="7"/>
      <c r="H201" s="7"/>
    </row>
    <row r="202">
      <c r="A202" s="7"/>
      <c r="B202" s="42"/>
      <c r="C202" s="9"/>
      <c r="D202" s="7"/>
      <c r="E202" s="7"/>
      <c r="F202" s="7"/>
      <c r="G202" s="7"/>
      <c r="H202" s="7"/>
    </row>
    <row r="203">
      <c r="A203" s="7"/>
      <c r="B203" s="42"/>
      <c r="C203" s="9"/>
      <c r="D203" s="7"/>
      <c r="E203" s="7"/>
      <c r="F203" s="7"/>
      <c r="G203" s="7"/>
      <c r="H203" s="7"/>
    </row>
    <row r="204">
      <c r="A204" s="7"/>
      <c r="B204" s="42"/>
      <c r="C204" s="9"/>
      <c r="D204" s="7"/>
      <c r="E204" s="7"/>
      <c r="F204" s="7"/>
      <c r="G204" s="7"/>
      <c r="H204" s="7"/>
    </row>
    <row r="205">
      <c r="A205" s="7"/>
      <c r="B205" s="42"/>
      <c r="C205" s="9"/>
      <c r="D205" s="7"/>
      <c r="E205" s="7"/>
      <c r="F205" s="7"/>
      <c r="G205" s="7"/>
      <c r="H205" s="7"/>
    </row>
    <row r="206">
      <c r="A206" s="7"/>
      <c r="B206" s="42"/>
      <c r="C206" s="9"/>
      <c r="D206" s="7"/>
      <c r="E206" s="7"/>
      <c r="F206" s="7"/>
      <c r="G206" s="7"/>
      <c r="H206" s="7"/>
    </row>
    <row r="207">
      <c r="A207" s="7"/>
      <c r="B207" s="42"/>
      <c r="C207" s="9"/>
      <c r="D207" s="7"/>
      <c r="E207" s="7"/>
      <c r="F207" s="7"/>
      <c r="G207" s="7"/>
      <c r="H207" s="7"/>
    </row>
    <row r="208">
      <c r="A208" s="7"/>
      <c r="B208" s="42"/>
      <c r="C208" s="9"/>
      <c r="D208" s="7"/>
      <c r="E208" s="7"/>
      <c r="F208" s="7"/>
      <c r="G208" s="7"/>
      <c r="H208" s="7"/>
    </row>
    <row r="209">
      <c r="A209" s="7"/>
      <c r="B209" s="42"/>
      <c r="C209" s="9"/>
      <c r="D209" s="7"/>
      <c r="E209" s="7"/>
      <c r="F209" s="7"/>
      <c r="G209" s="7"/>
      <c r="H209" s="7"/>
    </row>
    <row r="210">
      <c r="A210" s="7"/>
      <c r="B210" s="42"/>
      <c r="C210" s="9"/>
      <c r="D210" s="7"/>
      <c r="E210" s="7"/>
      <c r="F210" s="7"/>
      <c r="G210" s="7"/>
      <c r="H210" s="7"/>
    </row>
    <row r="211">
      <c r="A211" s="7"/>
      <c r="B211" s="42"/>
      <c r="C211" s="9"/>
      <c r="D211" s="7"/>
      <c r="E211" s="7"/>
      <c r="F211" s="7"/>
      <c r="G211" s="7"/>
      <c r="H211" s="7"/>
    </row>
    <row r="212">
      <c r="A212" s="7"/>
      <c r="B212" s="42"/>
      <c r="C212" s="9"/>
      <c r="D212" s="7"/>
      <c r="E212" s="7"/>
      <c r="F212" s="7"/>
      <c r="G212" s="7"/>
      <c r="H212" s="7"/>
    </row>
    <row r="213">
      <c r="A213" s="7"/>
      <c r="B213" s="42"/>
      <c r="C213" s="9"/>
      <c r="D213" s="7"/>
      <c r="E213" s="7"/>
      <c r="F213" s="7"/>
      <c r="G213" s="7"/>
      <c r="H213" s="7"/>
    </row>
    <row r="214">
      <c r="A214" s="7"/>
      <c r="B214" s="42"/>
      <c r="C214" s="9"/>
      <c r="D214" s="7"/>
      <c r="E214" s="7"/>
      <c r="F214" s="7"/>
      <c r="G214" s="7"/>
      <c r="H214" s="7"/>
    </row>
    <row r="215">
      <c r="A215" s="7"/>
      <c r="B215" s="42"/>
      <c r="C215" s="9"/>
      <c r="D215" s="7"/>
      <c r="E215" s="7"/>
      <c r="F215" s="7"/>
      <c r="G215" s="7"/>
      <c r="H215" s="7"/>
    </row>
    <row r="216">
      <c r="A216" s="7"/>
      <c r="B216" s="42"/>
      <c r="C216" s="9"/>
      <c r="D216" s="7"/>
      <c r="E216" s="7"/>
      <c r="F216" s="7"/>
      <c r="G216" s="7"/>
      <c r="H216" s="7"/>
    </row>
    <row r="217">
      <c r="A217" s="7"/>
      <c r="B217" s="42"/>
      <c r="C217" s="9"/>
      <c r="D217" s="7"/>
      <c r="E217" s="7"/>
      <c r="F217" s="7"/>
      <c r="G217" s="7"/>
      <c r="H217" s="7"/>
    </row>
    <row r="218">
      <c r="A218" s="7"/>
      <c r="B218" s="42"/>
      <c r="C218" s="9"/>
      <c r="D218" s="7"/>
      <c r="E218" s="7"/>
      <c r="F218" s="7"/>
      <c r="G218" s="7"/>
      <c r="H218" s="7"/>
    </row>
    <row r="219">
      <c r="A219" s="7"/>
      <c r="B219" s="42"/>
      <c r="C219" s="9"/>
      <c r="D219" s="7"/>
      <c r="E219" s="7"/>
      <c r="F219" s="7"/>
      <c r="G219" s="7"/>
      <c r="H219" s="7"/>
    </row>
    <row r="220">
      <c r="A220" s="7"/>
      <c r="B220" s="42"/>
      <c r="C220" s="9"/>
      <c r="D220" s="7"/>
      <c r="E220" s="7"/>
      <c r="F220" s="7"/>
      <c r="G220" s="7"/>
      <c r="H220" s="7"/>
    </row>
    <row r="221">
      <c r="A221" s="7"/>
      <c r="B221" s="42"/>
      <c r="C221" s="9"/>
      <c r="D221" s="7"/>
      <c r="E221" s="7"/>
      <c r="F221" s="7"/>
      <c r="G221" s="7"/>
      <c r="H221" s="7"/>
    </row>
    <row r="222">
      <c r="A222" s="7"/>
      <c r="B222" s="42"/>
      <c r="C222" s="9"/>
      <c r="D222" s="7"/>
      <c r="E222" s="7"/>
      <c r="F222" s="7"/>
      <c r="G222" s="7"/>
      <c r="H222" s="7"/>
    </row>
    <row r="223">
      <c r="A223" s="7"/>
      <c r="B223" s="42"/>
      <c r="C223" s="9"/>
      <c r="D223" s="7"/>
      <c r="E223" s="7"/>
      <c r="F223" s="7"/>
      <c r="G223" s="7"/>
      <c r="H223" s="7"/>
    </row>
    <row r="224">
      <c r="A224" s="7"/>
      <c r="B224" s="42"/>
      <c r="C224" s="9"/>
      <c r="D224" s="7"/>
      <c r="E224" s="7"/>
      <c r="F224" s="7"/>
      <c r="G224" s="7"/>
      <c r="H224" s="7"/>
    </row>
    <row r="225">
      <c r="A225" s="7"/>
      <c r="B225" s="42"/>
      <c r="C225" s="9"/>
      <c r="D225" s="7"/>
      <c r="E225" s="7"/>
      <c r="F225" s="7"/>
      <c r="G225" s="7"/>
      <c r="H225" s="7"/>
    </row>
    <row r="226">
      <c r="A226" s="7"/>
      <c r="B226" s="42"/>
      <c r="C226" s="9"/>
      <c r="D226" s="7"/>
      <c r="E226" s="7"/>
      <c r="F226" s="7"/>
      <c r="G226" s="7"/>
      <c r="H226" s="7"/>
    </row>
    <row r="227">
      <c r="A227" s="7"/>
      <c r="B227" s="42"/>
      <c r="C227" s="9"/>
      <c r="D227" s="7"/>
      <c r="E227" s="7"/>
      <c r="F227" s="7"/>
      <c r="G227" s="7"/>
      <c r="H227" s="7"/>
    </row>
    <row r="228">
      <c r="A228" s="7"/>
      <c r="B228" s="42"/>
      <c r="C228" s="9"/>
      <c r="D228" s="7"/>
      <c r="E228" s="7"/>
      <c r="F228" s="7"/>
      <c r="G228" s="7"/>
      <c r="H228" s="7"/>
    </row>
    <row r="229">
      <c r="A229" s="7"/>
      <c r="B229" s="42"/>
      <c r="C229" s="9"/>
      <c r="D229" s="7"/>
      <c r="E229" s="7"/>
      <c r="F229" s="7"/>
      <c r="G229" s="7"/>
      <c r="H229" s="7"/>
    </row>
    <row r="230">
      <c r="A230" s="7"/>
      <c r="B230" s="42"/>
      <c r="C230" s="9"/>
      <c r="D230" s="7"/>
      <c r="E230" s="7"/>
      <c r="F230" s="7"/>
      <c r="G230" s="7"/>
      <c r="H230" s="7"/>
    </row>
    <row r="231">
      <c r="A231" s="7"/>
      <c r="B231" s="42"/>
      <c r="C231" s="9"/>
      <c r="D231" s="7"/>
      <c r="E231" s="7"/>
      <c r="F231" s="7"/>
      <c r="G231" s="7"/>
      <c r="H231" s="7"/>
    </row>
    <row r="232">
      <c r="A232" s="7"/>
      <c r="B232" s="42"/>
      <c r="C232" s="9"/>
      <c r="D232" s="7"/>
      <c r="E232" s="7"/>
      <c r="F232" s="7"/>
      <c r="G232" s="7"/>
      <c r="H232" s="7"/>
    </row>
    <row r="233">
      <c r="A233" s="7"/>
      <c r="B233" s="42"/>
      <c r="C233" s="9"/>
      <c r="D233" s="7"/>
      <c r="E233" s="7"/>
      <c r="F233" s="7"/>
      <c r="G233" s="7"/>
      <c r="H233" s="7"/>
    </row>
    <row r="234">
      <c r="A234" s="7"/>
      <c r="B234" s="42"/>
      <c r="C234" s="9"/>
      <c r="D234" s="7"/>
      <c r="E234" s="7"/>
      <c r="F234" s="7"/>
      <c r="G234" s="7"/>
      <c r="H234" s="7"/>
    </row>
    <row r="235">
      <c r="A235" s="7"/>
      <c r="B235" s="42"/>
      <c r="C235" s="9"/>
      <c r="D235" s="7"/>
      <c r="E235" s="7"/>
      <c r="F235" s="7"/>
      <c r="G235" s="7"/>
      <c r="H235" s="7"/>
    </row>
    <row r="236">
      <c r="A236" s="7"/>
      <c r="B236" s="42"/>
      <c r="C236" s="9"/>
      <c r="D236" s="7"/>
      <c r="E236" s="7"/>
      <c r="F236" s="7"/>
      <c r="G236" s="7"/>
      <c r="H236" s="7"/>
    </row>
    <row r="237">
      <c r="A237" s="7"/>
      <c r="B237" s="42"/>
      <c r="C237" s="9"/>
      <c r="D237" s="7"/>
      <c r="E237" s="7"/>
      <c r="F237" s="7"/>
      <c r="G237" s="7"/>
      <c r="H237" s="7"/>
    </row>
    <row r="238">
      <c r="A238" s="7"/>
      <c r="B238" s="42"/>
      <c r="C238" s="9"/>
      <c r="D238" s="7"/>
      <c r="E238" s="7"/>
      <c r="F238" s="7"/>
      <c r="G238" s="7"/>
      <c r="H238" s="7"/>
    </row>
    <row r="239">
      <c r="A239" s="7"/>
      <c r="B239" s="42"/>
      <c r="C239" s="9"/>
      <c r="D239" s="7"/>
      <c r="E239" s="7"/>
      <c r="F239" s="7"/>
      <c r="G239" s="7"/>
      <c r="H239" s="7"/>
    </row>
    <row r="240">
      <c r="A240" s="7"/>
      <c r="B240" s="42"/>
      <c r="C240" s="9"/>
      <c r="D240" s="7"/>
      <c r="E240" s="7"/>
      <c r="F240" s="7"/>
      <c r="G240" s="7"/>
      <c r="H240" s="7"/>
    </row>
    <row r="241">
      <c r="A241" s="7"/>
      <c r="B241" s="42"/>
      <c r="C241" s="9"/>
      <c r="D241" s="7"/>
      <c r="E241" s="7"/>
      <c r="F241" s="7"/>
      <c r="G241" s="7"/>
      <c r="H241" s="7"/>
    </row>
    <row r="242">
      <c r="A242" s="7"/>
      <c r="B242" s="42"/>
      <c r="C242" s="9"/>
      <c r="D242" s="7"/>
      <c r="E242" s="7"/>
      <c r="F242" s="7"/>
      <c r="G242" s="7"/>
      <c r="H242" s="7"/>
    </row>
    <row r="243">
      <c r="A243" s="7"/>
      <c r="B243" s="42"/>
      <c r="C243" s="9"/>
      <c r="D243" s="7"/>
      <c r="E243" s="7"/>
      <c r="F243" s="7"/>
      <c r="G243" s="7"/>
      <c r="H243" s="7"/>
    </row>
    <row r="244">
      <c r="A244" s="7"/>
      <c r="B244" s="42"/>
      <c r="C244" s="9"/>
      <c r="D244" s="7"/>
      <c r="E244" s="7"/>
      <c r="F244" s="7"/>
      <c r="G244" s="7"/>
      <c r="H244" s="7"/>
    </row>
    <row r="245">
      <c r="A245" s="7"/>
      <c r="B245" s="42"/>
      <c r="C245" s="9"/>
      <c r="D245" s="7"/>
      <c r="E245" s="7"/>
      <c r="F245" s="7"/>
      <c r="G245" s="7"/>
      <c r="H245" s="7"/>
    </row>
    <row r="246">
      <c r="A246" s="7"/>
      <c r="B246" s="42"/>
      <c r="C246" s="9"/>
      <c r="D246" s="7"/>
      <c r="E246" s="7"/>
      <c r="F246" s="7"/>
      <c r="G246" s="7"/>
      <c r="H246" s="7"/>
    </row>
    <row r="247">
      <c r="A247" s="7"/>
      <c r="B247" s="42"/>
      <c r="C247" s="9"/>
      <c r="D247" s="7"/>
      <c r="E247" s="7"/>
      <c r="F247" s="7"/>
      <c r="G247" s="7"/>
      <c r="H247" s="7"/>
    </row>
    <row r="248">
      <c r="A248" s="7"/>
      <c r="B248" s="42"/>
      <c r="C248" s="9"/>
      <c r="D248" s="7"/>
      <c r="E248" s="7"/>
      <c r="F248" s="7"/>
      <c r="G248" s="7"/>
      <c r="H248" s="7"/>
    </row>
    <row r="249">
      <c r="A249" s="7"/>
      <c r="B249" s="42"/>
      <c r="C249" s="9"/>
      <c r="D249" s="7"/>
      <c r="E249" s="7"/>
      <c r="F249" s="7"/>
      <c r="G249" s="7"/>
      <c r="H249" s="7"/>
    </row>
    <row r="250">
      <c r="A250" s="7"/>
      <c r="B250" s="42"/>
      <c r="C250" s="9"/>
      <c r="D250" s="7"/>
      <c r="E250" s="7"/>
      <c r="F250" s="7"/>
      <c r="G250" s="7"/>
      <c r="H250" s="7"/>
    </row>
    <row r="251">
      <c r="A251" s="7"/>
      <c r="B251" s="42"/>
      <c r="C251" s="9"/>
      <c r="D251" s="7"/>
      <c r="E251" s="7"/>
      <c r="F251" s="7"/>
      <c r="G251" s="7"/>
      <c r="H251" s="7"/>
    </row>
    <row r="252">
      <c r="A252" s="7"/>
      <c r="B252" s="42"/>
      <c r="C252" s="9"/>
      <c r="D252" s="7"/>
      <c r="E252" s="7"/>
      <c r="F252" s="7"/>
      <c r="G252" s="7"/>
      <c r="H252" s="7"/>
    </row>
    <row r="253">
      <c r="A253" s="7"/>
      <c r="B253" s="42"/>
      <c r="C253" s="9"/>
      <c r="D253" s="7"/>
      <c r="E253" s="7"/>
      <c r="F253" s="7"/>
      <c r="G253" s="7"/>
      <c r="H253" s="7"/>
    </row>
  </sheetData>
  <dataValidations>
    <dataValidation type="list" allowBlank="1" showErrorMessage="1" sqref="G5:G12">
      <formula1>"Один,Много"</formula1>
    </dataValidation>
    <dataValidation type="list" allowBlank="1" showErrorMessage="1" sqref="E5:E12">
      <formula1>"Автоматически,Создавать через приложение"</formula1>
    </dataValidation>
    <dataValidation type="list" allowBlank="1" showErrorMessage="1" sqref="D5:D12">
      <formula1>"Обязательный,Дополнительный"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6.63"/>
    <col customWidth="1" min="3" max="3" width="50.13"/>
    <col customWidth="1" min="4" max="6" width="20.63"/>
    <col customWidth="1" min="7" max="7" width="3.5"/>
  </cols>
  <sheetData>
    <row r="1">
      <c r="A1" s="7"/>
      <c r="B1" s="17" t="s">
        <v>265</v>
      </c>
      <c r="C1" s="9"/>
      <c r="D1" s="15"/>
      <c r="E1" s="15"/>
      <c r="F1" s="15"/>
      <c r="G1" s="7"/>
    </row>
    <row r="2">
      <c r="A2" s="7"/>
      <c r="B2" s="9"/>
      <c r="C2" s="9"/>
      <c r="D2" s="15"/>
      <c r="E2" s="15"/>
      <c r="F2" s="15"/>
      <c r="G2" s="7"/>
    </row>
    <row r="3">
      <c r="A3" s="7"/>
      <c r="B3" s="9" t="s">
        <v>266</v>
      </c>
      <c r="C3" s="9"/>
      <c r="D3" s="15"/>
      <c r="E3" s="15"/>
      <c r="F3" s="15"/>
      <c r="G3" s="7"/>
    </row>
    <row r="4">
      <c r="A4" s="7"/>
      <c r="B4" s="9" t="s">
        <v>267</v>
      </c>
      <c r="C4" s="9"/>
      <c r="D4" s="15"/>
      <c r="E4" s="15"/>
      <c r="F4" s="15"/>
      <c r="G4" s="7"/>
    </row>
    <row r="5">
      <c r="A5" s="7"/>
      <c r="B5" s="9" t="s">
        <v>268</v>
      </c>
      <c r="C5" s="9"/>
      <c r="D5" s="15"/>
      <c r="E5" s="15"/>
      <c r="F5" s="15"/>
      <c r="G5" s="7"/>
    </row>
    <row r="6">
      <c r="A6" s="7"/>
      <c r="B6" s="9" t="s">
        <v>269</v>
      </c>
      <c r="C6" s="9"/>
      <c r="D6" s="15"/>
      <c r="E6" s="15"/>
      <c r="F6" s="15"/>
      <c r="G6" s="7"/>
    </row>
    <row r="7">
      <c r="A7" s="7"/>
      <c r="B7" s="9" t="s">
        <v>270</v>
      </c>
      <c r="C7" s="9"/>
      <c r="D7" s="15"/>
      <c r="E7" s="15"/>
      <c r="F7" s="15"/>
      <c r="G7" s="7"/>
    </row>
    <row r="8">
      <c r="A8" s="7"/>
      <c r="B8" s="7"/>
      <c r="C8" s="8"/>
      <c r="D8" s="7"/>
      <c r="E8" s="7"/>
      <c r="F8" s="7"/>
      <c r="G8" s="7"/>
    </row>
    <row r="9">
      <c r="A9" s="7"/>
      <c r="B9" s="25" t="s">
        <v>271</v>
      </c>
      <c r="C9" s="25" t="s">
        <v>272</v>
      </c>
      <c r="D9" s="25"/>
      <c r="E9" s="25"/>
      <c r="F9" s="25"/>
      <c r="G9" s="7"/>
    </row>
    <row r="10">
      <c r="A10" s="7"/>
      <c r="B10" s="9" t="s">
        <v>273</v>
      </c>
      <c r="C10" s="9" t="s">
        <v>274</v>
      </c>
      <c r="D10" s="15"/>
      <c r="E10" s="15"/>
      <c r="F10" s="15"/>
      <c r="G10" s="7"/>
    </row>
    <row r="11">
      <c r="A11" s="7"/>
      <c r="B11" s="9" t="s">
        <v>275</v>
      </c>
      <c r="C11" s="9" t="s">
        <v>276</v>
      </c>
      <c r="D11" s="15"/>
      <c r="E11" s="15"/>
      <c r="F11" s="15"/>
      <c r="G11" s="7"/>
    </row>
    <row r="12">
      <c r="A12" s="7"/>
      <c r="B12" s="9" t="s">
        <v>44</v>
      </c>
      <c r="C12" s="9" t="s">
        <v>277</v>
      </c>
      <c r="D12" s="15"/>
      <c r="E12" s="15"/>
      <c r="F12" s="15"/>
      <c r="G12" s="7"/>
    </row>
    <row r="13">
      <c r="A13" s="7"/>
      <c r="B13" s="9" t="s">
        <v>278</v>
      </c>
      <c r="C13" s="9" t="s">
        <v>45</v>
      </c>
      <c r="D13" s="15"/>
      <c r="E13" s="15"/>
      <c r="F13" s="15"/>
      <c r="G13" s="7"/>
    </row>
    <row r="14">
      <c r="A14" s="7"/>
      <c r="B14" s="9" t="s">
        <v>0</v>
      </c>
      <c r="C14" s="9" t="s">
        <v>279</v>
      </c>
      <c r="D14" s="15"/>
      <c r="E14" s="15"/>
      <c r="F14" s="15"/>
      <c r="G14" s="7"/>
    </row>
    <row r="15">
      <c r="A15" s="7"/>
      <c r="B15" s="9"/>
      <c r="C15" s="9"/>
      <c r="D15" s="15"/>
      <c r="E15" s="15"/>
      <c r="F15" s="15"/>
      <c r="G15" s="7"/>
    </row>
    <row r="16">
      <c r="A16" s="7"/>
      <c r="B16" s="9"/>
      <c r="C16" s="9"/>
      <c r="D16" s="15"/>
      <c r="E16" s="15"/>
      <c r="F16" s="15"/>
      <c r="G16" s="7"/>
    </row>
    <row r="17">
      <c r="A17" s="7"/>
      <c r="B17" s="9"/>
      <c r="C17" s="9"/>
      <c r="D17" s="15"/>
      <c r="E17" s="15"/>
      <c r="F17" s="15"/>
      <c r="G17" s="7"/>
    </row>
    <row r="18">
      <c r="A18" s="7"/>
      <c r="B18" s="25" t="s">
        <v>283</v>
      </c>
      <c r="C18" s="25" t="s">
        <v>284</v>
      </c>
      <c r="D18" s="15"/>
      <c r="E18" s="15"/>
      <c r="F18" s="15"/>
      <c r="G18" s="7"/>
    </row>
    <row r="19">
      <c r="A19" s="7"/>
      <c r="B19" s="9" t="s">
        <v>285</v>
      </c>
      <c r="C19" s="9" t="s">
        <v>286</v>
      </c>
      <c r="D19" s="15"/>
      <c r="E19" s="15"/>
      <c r="F19" s="15"/>
      <c r="G19" s="7"/>
    </row>
    <row r="20">
      <c r="A20" s="7"/>
      <c r="B20" s="9" t="s">
        <v>287</v>
      </c>
      <c r="C20" s="9" t="s">
        <v>288</v>
      </c>
      <c r="D20" s="15"/>
      <c r="E20" s="15"/>
      <c r="F20" s="15"/>
      <c r="G20" s="7"/>
    </row>
    <row r="21">
      <c r="A21" s="7"/>
      <c r="B21" s="9" t="s">
        <v>292</v>
      </c>
      <c r="C21" s="9" t="s">
        <v>293</v>
      </c>
      <c r="D21" s="15"/>
      <c r="E21" s="15"/>
      <c r="F21" s="15"/>
      <c r="G21" s="7"/>
    </row>
    <row r="22">
      <c r="A22" s="7"/>
      <c r="B22" s="9"/>
      <c r="C22" s="9"/>
      <c r="D22" s="15"/>
      <c r="E22" s="15"/>
      <c r="F22" s="9"/>
      <c r="G22" s="7"/>
    </row>
    <row r="23">
      <c r="A23" s="7"/>
      <c r="B23" s="9"/>
      <c r="C23" s="9"/>
      <c r="D23" s="15"/>
      <c r="E23" s="15"/>
      <c r="F23" s="9"/>
      <c r="G23" s="7"/>
    </row>
    <row r="24">
      <c r="A24" s="7"/>
      <c r="B24" s="9"/>
      <c r="C24" s="9"/>
      <c r="D24" s="15"/>
      <c r="E24" s="15"/>
      <c r="F24" s="9"/>
      <c r="G24" s="7"/>
    </row>
    <row r="25">
      <c r="A25" s="7"/>
      <c r="B25" s="25" t="s">
        <v>283</v>
      </c>
      <c r="C25" s="25" t="s">
        <v>284</v>
      </c>
      <c r="D25" s="15"/>
      <c r="E25" s="7"/>
      <c r="F25" s="9"/>
      <c r="G25" s="7"/>
    </row>
    <row r="26">
      <c r="A26" s="7"/>
      <c r="B26" s="9" t="s">
        <v>285</v>
      </c>
      <c r="C26" s="9" t="s">
        <v>286</v>
      </c>
      <c r="D26" s="15"/>
      <c r="E26" s="7"/>
      <c r="F26" s="42"/>
      <c r="G26" s="7"/>
    </row>
    <row r="27">
      <c r="A27" s="7"/>
      <c r="B27" s="9"/>
      <c r="C27" s="17"/>
      <c r="D27" s="15"/>
      <c r="E27" s="15"/>
      <c r="F27" s="9"/>
      <c r="G27" s="7"/>
    </row>
    <row r="28">
      <c r="A28" s="7"/>
      <c r="B28" s="47"/>
      <c r="C28" s="47"/>
      <c r="D28" s="47"/>
      <c r="E28" s="47"/>
      <c r="F28" s="9"/>
      <c r="G28" s="7"/>
    </row>
    <row r="29">
      <c r="A29" s="7"/>
      <c r="B29" s="25" t="s">
        <v>297</v>
      </c>
      <c r="C29" s="25" t="s">
        <v>298</v>
      </c>
      <c r="D29" s="25" t="s">
        <v>299</v>
      </c>
      <c r="E29" s="25" t="s">
        <v>300</v>
      </c>
      <c r="F29" s="9"/>
      <c r="G29" s="7"/>
    </row>
    <row r="30">
      <c r="A30" s="7"/>
      <c r="B30" s="47" t="s">
        <v>276</v>
      </c>
      <c r="C30" s="47" t="s">
        <v>301</v>
      </c>
      <c r="D30" s="47" t="s">
        <v>274</v>
      </c>
      <c r="E30" s="47" t="s">
        <v>302</v>
      </c>
      <c r="F30" s="42"/>
      <c r="G30" s="7"/>
    </row>
    <row r="31">
      <c r="A31" s="7"/>
      <c r="B31" s="47" t="s">
        <v>45</v>
      </c>
      <c r="C31" s="47" t="s">
        <v>301</v>
      </c>
      <c r="D31" s="47" t="s">
        <v>274</v>
      </c>
      <c r="E31" s="47" t="s">
        <v>305</v>
      </c>
      <c r="F31" s="9"/>
      <c r="G31" s="7"/>
    </row>
    <row r="32">
      <c r="A32" s="7"/>
      <c r="B32" s="47" t="s">
        <v>277</v>
      </c>
      <c r="C32" s="47" t="s">
        <v>301</v>
      </c>
      <c r="D32" s="47" t="s">
        <v>274</v>
      </c>
      <c r="E32" s="47" t="s">
        <v>308</v>
      </c>
      <c r="F32" s="9"/>
      <c r="G32" s="7"/>
    </row>
    <row r="33">
      <c r="A33" s="7"/>
      <c r="B33" s="47" t="s">
        <v>274</v>
      </c>
      <c r="C33" s="47" t="s">
        <v>301</v>
      </c>
      <c r="D33" s="47" t="s">
        <v>279</v>
      </c>
      <c r="E33" s="47" t="s">
        <v>316</v>
      </c>
      <c r="F33" s="9"/>
      <c r="G33" s="7"/>
    </row>
    <row r="34">
      <c r="A34" s="7"/>
      <c r="B34" s="47" t="s">
        <v>277</v>
      </c>
      <c r="C34" s="47" t="s">
        <v>301</v>
      </c>
      <c r="D34" s="47" t="s">
        <v>279</v>
      </c>
      <c r="E34" s="47" t="s">
        <v>320</v>
      </c>
      <c r="F34" s="9"/>
      <c r="G34" s="7"/>
    </row>
    <row r="35">
      <c r="A35" s="7"/>
      <c r="B35" s="9"/>
      <c r="C35" s="9"/>
      <c r="D35" s="15"/>
      <c r="E35" s="15"/>
      <c r="F35" s="9"/>
      <c r="G35" s="7"/>
    </row>
    <row r="36">
      <c r="A36" s="7"/>
      <c r="B36" s="9"/>
      <c r="C36" s="9"/>
      <c r="D36" s="15"/>
      <c r="E36" s="15"/>
      <c r="F36" s="9"/>
      <c r="G36" s="7"/>
    </row>
    <row r="37">
      <c r="A37" s="7"/>
      <c r="B37" s="9"/>
      <c r="C37" s="9"/>
      <c r="D37" s="15"/>
      <c r="E37" s="15"/>
      <c r="F37" s="9"/>
      <c r="G37" s="7"/>
    </row>
    <row r="38">
      <c r="A38" s="7"/>
      <c r="B38" s="9" t="s">
        <v>338</v>
      </c>
      <c r="C38" s="9"/>
      <c r="D38" s="15"/>
      <c r="E38" s="15"/>
      <c r="F38" s="9"/>
      <c r="G38" s="7"/>
    </row>
    <row r="39">
      <c r="A39" s="7"/>
      <c r="B39" s="60" t="s">
        <v>343</v>
      </c>
      <c r="C39" s="9"/>
      <c r="D39" s="15"/>
      <c r="E39" s="15"/>
      <c r="F39" s="9"/>
      <c r="G39" s="7"/>
    </row>
    <row r="40">
      <c r="A40" s="7"/>
      <c r="B40" s="9"/>
      <c r="C40" s="9"/>
      <c r="D40" s="15"/>
      <c r="E40" s="15"/>
      <c r="F40" s="9"/>
      <c r="G40" s="7"/>
    </row>
    <row r="41">
      <c r="A41" s="7"/>
      <c r="B41" s="9"/>
      <c r="C41" s="9"/>
      <c r="D41" s="15"/>
      <c r="E41" s="15"/>
      <c r="F41" s="9"/>
      <c r="G41" s="7"/>
    </row>
    <row r="42">
      <c r="A42" s="7"/>
      <c r="B42" s="9"/>
      <c r="C42" s="9"/>
      <c r="D42" s="7"/>
      <c r="E42" s="7"/>
      <c r="F42" s="42"/>
      <c r="G42" s="7"/>
    </row>
    <row r="43">
      <c r="A43" s="7"/>
      <c r="B43" s="9"/>
      <c r="C43" s="9"/>
      <c r="D43" s="15"/>
      <c r="E43" s="15"/>
      <c r="F43" s="9"/>
      <c r="G43" s="7"/>
    </row>
    <row r="44">
      <c r="A44" s="7"/>
      <c r="B44" s="9"/>
      <c r="C44" s="9"/>
      <c r="D44" s="15"/>
      <c r="E44" s="15"/>
      <c r="F44" s="9"/>
      <c r="G44" s="7"/>
    </row>
    <row r="45">
      <c r="A45" s="7"/>
      <c r="B45" s="9"/>
      <c r="C45" s="9"/>
      <c r="D45" s="15"/>
      <c r="E45" s="15"/>
      <c r="F45" s="9"/>
      <c r="G45" s="7"/>
    </row>
    <row r="46">
      <c r="A46" s="7"/>
      <c r="B46" s="9"/>
      <c r="C46" s="9"/>
      <c r="D46" s="15"/>
      <c r="E46" s="15"/>
      <c r="F46" s="9"/>
      <c r="G46" s="7"/>
    </row>
    <row r="47">
      <c r="A47" s="7"/>
      <c r="B47" s="9"/>
      <c r="C47" s="9"/>
      <c r="D47" s="15"/>
      <c r="E47" s="15"/>
      <c r="F47" s="9"/>
      <c r="G47" s="7"/>
    </row>
    <row r="48">
      <c r="A48" s="7"/>
      <c r="B48" s="42"/>
      <c r="C48" s="42"/>
      <c r="D48" s="7"/>
      <c r="E48" s="7"/>
      <c r="F48" s="42"/>
      <c r="G48" s="7"/>
    </row>
    <row r="49">
      <c r="A49" s="7"/>
      <c r="B49" s="42"/>
      <c r="C49" s="9"/>
      <c r="D49" s="7"/>
      <c r="E49" s="7"/>
      <c r="F49" s="42"/>
      <c r="G49" s="7"/>
    </row>
    <row r="50">
      <c r="A50" s="7"/>
      <c r="B50" s="42"/>
      <c r="C50" s="9"/>
      <c r="D50" s="7"/>
      <c r="E50" s="7"/>
      <c r="F50" s="42"/>
      <c r="G50" s="7"/>
    </row>
    <row r="51">
      <c r="A51" s="7"/>
      <c r="B51" s="42"/>
      <c r="C51" s="9"/>
      <c r="D51" s="7"/>
      <c r="E51" s="7"/>
      <c r="F51" s="42"/>
      <c r="G51" s="7"/>
    </row>
    <row r="52">
      <c r="A52" s="7"/>
      <c r="B52" s="42"/>
      <c r="C52" s="9"/>
      <c r="D52" s="7"/>
      <c r="E52" s="7"/>
      <c r="F52" s="42"/>
      <c r="G52" s="7"/>
    </row>
    <row r="53">
      <c r="A53" s="7"/>
      <c r="B53" s="42"/>
      <c r="C53" s="9"/>
      <c r="D53" s="7"/>
      <c r="E53" s="7"/>
      <c r="F53" s="42"/>
      <c r="G53" s="7"/>
    </row>
    <row r="54">
      <c r="A54" s="7"/>
      <c r="B54" s="42"/>
      <c r="C54" s="9"/>
      <c r="D54" s="7"/>
      <c r="E54" s="7"/>
      <c r="F54" s="42"/>
      <c r="G54" s="7"/>
    </row>
    <row r="55">
      <c r="A55" s="7"/>
      <c r="B55" s="42"/>
      <c r="C55" s="9"/>
      <c r="D55" s="7"/>
      <c r="E55" s="7"/>
      <c r="F55" s="42"/>
      <c r="G55" s="7"/>
    </row>
    <row r="56">
      <c r="A56" s="7"/>
      <c r="B56" s="42"/>
      <c r="C56" s="9"/>
      <c r="D56" s="7"/>
      <c r="E56" s="7"/>
      <c r="F56" s="42"/>
      <c r="G56" s="7"/>
    </row>
    <row r="57">
      <c r="A57" s="7"/>
      <c r="B57" s="42"/>
      <c r="C57" s="9"/>
      <c r="D57" s="7"/>
      <c r="E57" s="7"/>
      <c r="F57" s="42"/>
      <c r="G57" s="7"/>
    </row>
    <row r="58">
      <c r="A58" s="7"/>
      <c r="B58" s="42"/>
      <c r="C58" s="9"/>
      <c r="D58" s="7"/>
      <c r="E58" s="7"/>
      <c r="F58" s="42"/>
      <c r="G58" s="7"/>
    </row>
    <row r="59">
      <c r="A59" s="7"/>
      <c r="B59" s="42"/>
      <c r="C59" s="9"/>
      <c r="D59" s="7"/>
      <c r="E59" s="7"/>
      <c r="F59" s="42"/>
      <c r="G59" s="7"/>
    </row>
    <row r="60">
      <c r="A60" s="7"/>
      <c r="B60" s="42"/>
      <c r="C60" s="9"/>
      <c r="D60" s="7"/>
      <c r="E60" s="7"/>
      <c r="F60" s="42"/>
      <c r="G60" s="7"/>
    </row>
    <row r="61">
      <c r="A61" s="7"/>
      <c r="B61" s="42"/>
      <c r="C61" s="9"/>
      <c r="D61" s="7"/>
      <c r="E61" s="7"/>
      <c r="F61" s="42"/>
      <c r="G61" s="7"/>
    </row>
    <row r="62">
      <c r="A62" s="7"/>
      <c r="B62" s="42"/>
      <c r="C62" s="9"/>
      <c r="D62" s="7"/>
      <c r="E62" s="7"/>
      <c r="F62" s="42"/>
      <c r="G62" s="7"/>
    </row>
    <row r="63">
      <c r="A63" s="7"/>
      <c r="B63" s="42"/>
      <c r="C63" s="9"/>
      <c r="D63" s="7"/>
      <c r="E63" s="7"/>
      <c r="F63" s="42"/>
      <c r="G63" s="7"/>
    </row>
    <row r="64">
      <c r="A64" s="7"/>
      <c r="B64" s="42"/>
      <c r="C64" s="9"/>
      <c r="D64" s="7"/>
      <c r="E64" s="7"/>
      <c r="F64" s="42"/>
      <c r="G64" s="7"/>
    </row>
    <row r="65">
      <c r="A65" s="7"/>
      <c r="B65" s="42"/>
      <c r="C65" s="9"/>
      <c r="D65" s="7"/>
      <c r="E65" s="7"/>
      <c r="F65" s="42"/>
      <c r="G65" s="7"/>
    </row>
    <row r="66">
      <c r="A66" s="7"/>
      <c r="B66" s="42"/>
      <c r="C66" s="9"/>
      <c r="D66" s="7"/>
      <c r="E66" s="7"/>
      <c r="F66" s="42"/>
      <c r="G66" s="7"/>
    </row>
    <row r="67">
      <c r="A67" s="7"/>
      <c r="B67" s="42"/>
      <c r="C67" s="9"/>
      <c r="D67" s="7"/>
      <c r="E67" s="7"/>
      <c r="F67" s="42"/>
      <c r="G67" s="7"/>
    </row>
    <row r="68">
      <c r="A68" s="7"/>
      <c r="B68" s="42"/>
      <c r="C68" s="9"/>
      <c r="D68" s="7"/>
      <c r="E68" s="7"/>
      <c r="F68" s="42"/>
      <c r="G68" s="7"/>
    </row>
    <row r="69">
      <c r="A69" s="7"/>
      <c r="B69" s="42"/>
      <c r="C69" s="9"/>
      <c r="D69" s="7"/>
      <c r="E69" s="7"/>
      <c r="F69" s="42"/>
      <c r="G69" s="7"/>
    </row>
    <row r="70">
      <c r="A70" s="7"/>
      <c r="B70" s="42"/>
      <c r="C70" s="9"/>
      <c r="D70" s="7"/>
      <c r="E70" s="7"/>
      <c r="F70" s="42"/>
      <c r="G70" s="7"/>
    </row>
    <row r="71">
      <c r="A71" s="7"/>
      <c r="B71" s="42"/>
      <c r="C71" s="9"/>
      <c r="D71" s="7"/>
      <c r="E71" s="7"/>
      <c r="F71" s="42"/>
      <c r="G71" s="7"/>
    </row>
    <row r="72">
      <c r="A72" s="7"/>
      <c r="B72" s="42"/>
      <c r="C72" s="9"/>
      <c r="D72" s="7"/>
      <c r="E72" s="7"/>
      <c r="F72" s="42"/>
      <c r="G72" s="7"/>
    </row>
    <row r="73">
      <c r="A73" s="7"/>
      <c r="B73" s="42"/>
      <c r="C73" s="9"/>
      <c r="D73" s="7"/>
      <c r="E73" s="7"/>
      <c r="F73" s="42"/>
      <c r="G73" s="7"/>
    </row>
    <row r="74">
      <c r="A74" s="7"/>
      <c r="B74" s="42"/>
      <c r="C74" s="9"/>
      <c r="D74" s="7"/>
      <c r="E74" s="7"/>
      <c r="F74" s="42"/>
      <c r="G74" s="7"/>
    </row>
    <row r="75">
      <c r="A75" s="7"/>
      <c r="B75" s="42"/>
      <c r="C75" s="9"/>
      <c r="D75" s="7"/>
      <c r="E75" s="7"/>
      <c r="F75" s="42"/>
      <c r="G75" s="7"/>
    </row>
    <row r="76">
      <c r="A76" s="7"/>
      <c r="B76" s="42"/>
      <c r="C76" s="9"/>
      <c r="D76" s="7"/>
      <c r="E76" s="7"/>
      <c r="F76" s="42"/>
      <c r="G76" s="7"/>
    </row>
    <row r="77">
      <c r="A77" s="7"/>
      <c r="B77" s="42"/>
      <c r="C77" s="9"/>
      <c r="D77" s="7"/>
      <c r="E77" s="7"/>
      <c r="F77" s="42"/>
      <c r="G77" s="7"/>
    </row>
    <row r="78">
      <c r="A78" s="7"/>
      <c r="B78" s="42"/>
      <c r="C78" s="9"/>
      <c r="D78" s="7"/>
      <c r="E78" s="7"/>
      <c r="F78" s="42"/>
      <c r="G78" s="7"/>
    </row>
    <row r="79">
      <c r="A79" s="7"/>
      <c r="B79" s="42"/>
      <c r="C79" s="9"/>
      <c r="D79" s="7"/>
      <c r="E79" s="7"/>
      <c r="F79" s="42"/>
      <c r="G79" s="7"/>
    </row>
    <row r="80">
      <c r="A80" s="7"/>
      <c r="B80" s="42"/>
      <c r="C80" s="9"/>
      <c r="D80" s="7"/>
      <c r="E80" s="7"/>
      <c r="F80" s="42"/>
      <c r="G80" s="7"/>
    </row>
    <row r="81">
      <c r="A81" s="7"/>
      <c r="B81" s="42"/>
      <c r="C81" s="9"/>
      <c r="D81" s="7"/>
      <c r="E81" s="7"/>
      <c r="F81" s="42"/>
      <c r="G81" s="7"/>
    </row>
    <row r="82">
      <c r="A82" s="7"/>
      <c r="B82" s="42"/>
      <c r="C82" s="9"/>
      <c r="D82" s="7"/>
      <c r="E82" s="7"/>
      <c r="F82" s="42"/>
      <c r="G82" s="7"/>
    </row>
    <row r="83">
      <c r="A83" s="7"/>
      <c r="B83" s="42"/>
      <c r="C83" s="9"/>
      <c r="D83" s="7"/>
      <c r="E83" s="7"/>
      <c r="F83" s="42"/>
      <c r="G83" s="7"/>
    </row>
    <row r="84">
      <c r="A84" s="7"/>
      <c r="B84" s="42"/>
      <c r="C84" s="9"/>
      <c r="D84" s="7"/>
      <c r="E84" s="7"/>
      <c r="F84" s="42"/>
      <c r="G84" s="7"/>
    </row>
    <row r="85">
      <c r="A85" s="7"/>
      <c r="B85" s="42"/>
      <c r="C85" s="9"/>
      <c r="D85" s="7"/>
      <c r="E85" s="7"/>
      <c r="F85" s="42"/>
      <c r="G85" s="7"/>
    </row>
    <row r="86">
      <c r="A86" s="7"/>
      <c r="B86" s="42"/>
      <c r="C86" s="9"/>
      <c r="D86" s="7"/>
      <c r="E86" s="7"/>
      <c r="F86" s="42"/>
      <c r="G86" s="7"/>
    </row>
    <row r="87">
      <c r="A87" s="7"/>
      <c r="B87" s="42"/>
      <c r="C87" s="9"/>
      <c r="D87" s="7"/>
      <c r="E87" s="7"/>
      <c r="F87" s="42"/>
      <c r="G87" s="7"/>
    </row>
    <row r="88">
      <c r="A88" s="7"/>
      <c r="B88" s="42"/>
      <c r="C88" s="9"/>
      <c r="D88" s="7"/>
      <c r="E88" s="7"/>
      <c r="F88" s="42"/>
      <c r="G88" s="7"/>
    </row>
    <row r="89">
      <c r="A89" s="7"/>
      <c r="B89" s="42"/>
      <c r="C89" s="9"/>
      <c r="D89" s="7"/>
      <c r="E89" s="7"/>
      <c r="F89" s="42"/>
      <c r="G89" s="7"/>
    </row>
    <row r="90">
      <c r="A90" s="7"/>
      <c r="B90" s="42"/>
      <c r="C90" s="9"/>
      <c r="D90" s="7"/>
      <c r="E90" s="7"/>
      <c r="F90" s="42"/>
      <c r="G90" s="7"/>
    </row>
    <row r="91">
      <c r="A91" s="7"/>
      <c r="B91" s="42"/>
      <c r="C91" s="9"/>
      <c r="D91" s="7"/>
      <c r="E91" s="7"/>
      <c r="F91" s="42"/>
      <c r="G91" s="7"/>
    </row>
    <row r="92">
      <c r="A92" s="7"/>
      <c r="B92" s="42"/>
      <c r="C92" s="9"/>
      <c r="D92" s="7"/>
      <c r="E92" s="7"/>
      <c r="F92" s="42"/>
      <c r="G92" s="7"/>
    </row>
    <row r="93">
      <c r="A93" s="7"/>
      <c r="B93" s="42"/>
      <c r="C93" s="9"/>
      <c r="D93" s="7"/>
      <c r="E93" s="7"/>
      <c r="F93" s="42"/>
      <c r="G93" s="7"/>
    </row>
    <row r="94">
      <c r="A94" s="7"/>
      <c r="B94" s="42"/>
      <c r="C94" s="9"/>
      <c r="D94" s="7"/>
      <c r="E94" s="7"/>
      <c r="F94" s="42"/>
      <c r="G94" s="7"/>
    </row>
    <row r="95">
      <c r="A95" s="7"/>
      <c r="B95" s="42"/>
      <c r="C95" s="9"/>
      <c r="D95" s="7"/>
      <c r="E95" s="7"/>
      <c r="F95" s="42"/>
      <c r="G95" s="7"/>
    </row>
    <row r="96">
      <c r="A96" s="7"/>
      <c r="B96" s="42"/>
      <c r="C96" s="9"/>
      <c r="D96" s="7"/>
      <c r="E96" s="7"/>
      <c r="F96" s="42"/>
      <c r="G96" s="7"/>
    </row>
    <row r="97">
      <c r="A97" s="7"/>
      <c r="B97" s="42"/>
      <c r="C97" s="9"/>
      <c r="D97" s="7"/>
      <c r="E97" s="7"/>
      <c r="F97" s="42"/>
      <c r="G97" s="7"/>
    </row>
    <row r="98">
      <c r="A98" s="7"/>
      <c r="B98" s="42"/>
      <c r="C98" s="9"/>
      <c r="D98" s="7"/>
      <c r="E98" s="7"/>
      <c r="F98" s="42"/>
      <c r="G98" s="7"/>
    </row>
    <row r="99">
      <c r="A99" s="7"/>
      <c r="B99" s="42"/>
      <c r="C99" s="9"/>
      <c r="D99" s="7"/>
      <c r="E99" s="7"/>
      <c r="F99" s="42"/>
      <c r="G99" s="7"/>
    </row>
    <row r="100">
      <c r="A100" s="7"/>
      <c r="B100" s="42"/>
      <c r="C100" s="9"/>
      <c r="D100" s="7"/>
      <c r="E100" s="7"/>
      <c r="F100" s="42"/>
      <c r="G100" s="7"/>
    </row>
    <row r="101">
      <c r="A101" s="7"/>
      <c r="B101" s="42"/>
      <c r="C101" s="9"/>
      <c r="D101" s="7"/>
      <c r="E101" s="7"/>
      <c r="F101" s="42"/>
      <c r="G101" s="7"/>
    </row>
    <row r="102">
      <c r="A102" s="7"/>
      <c r="B102" s="42"/>
      <c r="C102" s="9"/>
      <c r="D102" s="7"/>
      <c r="E102" s="7"/>
      <c r="F102" s="42"/>
      <c r="G102" s="7"/>
    </row>
    <row r="103">
      <c r="A103" s="7"/>
      <c r="B103" s="42"/>
      <c r="C103" s="9"/>
      <c r="D103" s="7"/>
      <c r="E103" s="7"/>
      <c r="F103" s="42"/>
      <c r="G103" s="7"/>
    </row>
    <row r="104">
      <c r="A104" s="7"/>
      <c r="B104" s="42"/>
      <c r="C104" s="9"/>
      <c r="D104" s="7"/>
      <c r="E104" s="7"/>
      <c r="F104" s="42"/>
      <c r="G104" s="7"/>
    </row>
    <row r="105">
      <c r="A105" s="7"/>
      <c r="B105" s="42"/>
      <c r="C105" s="9"/>
      <c r="D105" s="7"/>
      <c r="E105" s="7"/>
      <c r="F105" s="42"/>
      <c r="G105" s="7"/>
    </row>
    <row r="106">
      <c r="A106" s="7"/>
      <c r="B106" s="42"/>
      <c r="C106" s="9"/>
      <c r="D106" s="7"/>
      <c r="E106" s="7"/>
      <c r="F106" s="42"/>
      <c r="G106" s="7"/>
    </row>
    <row r="107">
      <c r="A107" s="7"/>
      <c r="B107" s="42"/>
      <c r="C107" s="9"/>
      <c r="D107" s="7"/>
      <c r="E107" s="7"/>
      <c r="F107" s="42"/>
      <c r="G107" s="7"/>
    </row>
    <row r="108">
      <c r="A108" s="7"/>
      <c r="B108" s="42"/>
      <c r="C108" s="9"/>
      <c r="D108" s="7"/>
      <c r="E108" s="7"/>
      <c r="F108" s="42"/>
      <c r="G108" s="7"/>
    </row>
    <row r="109">
      <c r="A109" s="7"/>
      <c r="B109" s="42"/>
      <c r="C109" s="9"/>
      <c r="D109" s="7"/>
      <c r="E109" s="7"/>
      <c r="F109" s="42"/>
      <c r="G109" s="7"/>
    </row>
    <row r="110">
      <c r="A110" s="7"/>
      <c r="B110" s="42"/>
      <c r="C110" s="9"/>
      <c r="D110" s="7"/>
      <c r="E110" s="7"/>
      <c r="F110" s="42"/>
      <c r="G110" s="7"/>
    </row>
    <row r="111">
      <c r="A111" s="7"/>
      <c r="B111" s="42"/>
      <c r="C111" s="9"/>
      <c r="D111" s="7"/>
      <c r="E111" s="7"/>
      <c r="F111" s="42"/>
      <c r="G111" s="7"/>
    </row>
    <row r="112">
      <c r="A112" s="7"/>
      <c r="B112" s="42"/>
      <c r="C112" s="9"/>
      <c r="D112" s="7"/>
      <c r="E112" s="7"/>
      <c r="F112" s="7"/>
      <c r="G112" s="7"/>
    </row>
    <row r="113">
      <c r="A113" s="7"/>
      <c r="B113" s="42"/>
      <c r="C113" s="9"/>
      <c r="D113" s="7"/>
      <c r="E113" s="7"/>
      <c r="F113" s="7"/>
      <c r="G113" s="7"/>
    </row>
    <row r="114">
      <c r="A114" s="7"/>
      <c r="B114" s="42"/>
      <c r="C114" s="9"/>
      <c r="D114" s="7"/>
      <c r="E114" s="7"/>
      <c r="F114" s="7"/>
      <c r="G114" s="7"/>
    </row>
    <row r="115">
      <c r="A115" s="7"/>
      <c r="B115" s="42"/>
      <c r="C115" s="9"/>
      <c r="D115" s="7"/>
      <c r="E115" s="7"/>
      <c r="F115" s="7"/>
      <c r="G115" s="7"/>
    </row>
    <row r="116">
      <c r="A116" s="7"/>
      <c r="B116" s="42"/>
      <c r="C116" s="9"/>
      <c r="D116" s="7"/>
      <c r="E116" s="7"/>
      <c r="F116" s="7"/>
      <c r="G116" s="7"/>
    </row>
    <row r="117">
      <c r="A117" s="7"/>
      <c r="B117" s="42"/>
      <c r="C117" s="9"/>
      <c r="D117" s="7"/>
      <c r="E117" s="7"/>
      <c r="F117" s="7"/>
      <c r="G117" s="7"/>
    </row>
    <row r="118">
      <c r="A118" s="7"/>
      <c r="B118" s="42"/>
      <c r="C118" s="9"/>
      <c r="D118" s="7"/>
      <c r="E118" s="7"/>
      <c r="F118" s="7"/>
      <c r="G118" s="7"/>
    </row>
    <row r="119">
      <c r="A119" s="7"/>
      <c r="B119" s="42"/>
      <c r="C119" s="9"/>
      <c r="D119" s="7"/>
      <c r="E119" s="7"/>
      <c r="F119" s="7"/>
      <c r="G119" s="7"/>
    </row>
    <row r="120">
      <c r="A120" s="7"/>
      <c r="B120" s="42"/>
      <c r="C120" s="9"/>
      <c r="D120" s="7"/>
      <c r="E120" s="7"/>
      <c r="F120" s="7"/>
      <c r="G120" s="7"/>
    </row>
    <row r="121">
      <c r="A121" s="7"/>
      <c r="B121" s="42"/>
      <c r="C121" s="9"/>
      <c r="D121" s="7"/>
      <c r="E121" s="7"/>
      <c r="F121" s="7"/>
      <c r="G121" s="7"/>
    </row>
    <row r="122">
      <c r="A122" s="7"/>
      <c r="B122" s="42"/>
      <c r="C122" s="9"/>
      <c r="D122" s="7"/>
      <c r="E122" s="7"/>
      <c r="F122" s="7"/>
      <c r="G122" s="7"/>
    </row>
    <row r="123">
      <c r="A123" s="7"/>
      <c r="B123" s="42"/>
      <c r="C123" s="9"/>
      <c r="D123" s="7"/>
      <c r="E123" s="7"/>
      <c r="F123" s="7"/>
      <c r="G123" s="7"/>
    </row>
    <row r="124">
      <c r="A124" s="7"/>
      <c r="B124" s="42"/>
      <c r="C124" s="9"/>
      <c r="D124" s="7"/>
      <c r="E124" s="7"/>
      <c r="F124" s="7"/>
      <c r="G124" s="7"/>
    </row>
    <row r="125">
      <c r="A125" s="7"/>
      <c r="B125" s="42"/>
      <c r="C125" s="9"/>
      <c r="D125" s="7"/>
      <c r="E125" s="7"/>
      <c r="F125" s="7"/>
      <c r="G125" s="7"/>
    </row>
    <row r="126">
      <c r="A126" s="7"/>
      <c r="B126" s="42"/>
      <c r="C126" s="9"/>
      <c r="D126" s="7"/>
      <c r="E126" s="7"/>
      <c r="F126" s="7"/>
      <c r="G126" s="7"/>
    </row>
    <row r="127">
      <c r="A127" s="7"/>
      <c r="B127" s="42"/>
      <c r="C127" s="9"/>
      <c r="D127" s="7"/>
      <c r="E127" s="7"/>
      <c r="F127" s="7"/>
      <c r="G127" s="7"/>
    </row>
    <row r="128">
      <c r="A128" s="7"/>
      <c r="B128" s="42"/>
      <c r="C128" s="9"/>
      <c r="D128" s="7"/>
      <c r="E128" s="7"/>
      <c r="F128" s="7"/>
      <c r="G128" s="7"/>
    </row>
    <row r="129">
      <c r="A129" s="7"/>
      <c r="B129" s="42"/>
      <c r="C129" s="9"/>
      <c r="D129" s="7"/>
      <c r="E129" s="7"/>
      <c r="F129" s="7"/>
      <c r="G129" s="7"/>
    </row>
    <row r="130">
      <c r="A130" s="7"/>
      <c r="B130" s="42"/>
      <c r="C130" s="9"/>
      <c r="D130" s="7"/>
      <c r="E130" s="7"/>
      <c r="F130" s="7"/>
      <c r="G130" s="7"/>
    </row>
    <row r="131">
      <c r="A131" s="7"/>
      <c r="B131" s="42"/>
      <c r="C131" s="9"/>
      <c r="D131" s="7"/>
      <c r="E131" s="7"/>
      <c r="F131" s="7"/>
      <c r="G131" s="7"/>
    </row>
    <row r="132">
      <c r="A132" s="7"/>
      <c r="B132" s="42"/>
      <c r="C132" s="9"/>
      <c r="D132" s="7"/>
      <c r="E132" s="7"/>
      <c r="F132" s="7"/>
      <c r="G132" s="7"/>
    </row>
    <row r="133">
      <c r="A133" s="7"/>
      <c r="B133" s="42"/>
      <c r="C133" s="9"/>
      <c r="D133" s="7"/>
      <c r="E133" s="7"/>
      <c r="F133" s="7"/>
      <c r="G133" s="7"/>
    </row>
    <row r="134">
      <c r="A134" s="7"/>
      <c r="B134" s="42"/>
      <c r="C134" s="9"/>
      <c r="D134" s="7"/>
      <c r="E134" s="7"/>
      <c r="F134" s="7"/>
      <c r="G134" s="7"/>
    </row>
    <row r="135">
      <c r="A135" s="7"/>
      <c r="B135" s="42"/>
      <c r="C135" s="9"/>
      <c r="D135" s="7"/>
      <c r="E135" s="7"/>
      <c r="F135" s="7"/>
      <c r="G135" s="7"/>
    </row>
    <row r="136">
      <c r="A136" s="7"/>
      <c r="B136" s="42"/>
      <c r="C136" s="9"/>
      <c r="D136" s="7"/>
      <c r="E136" s="7"/>
      <c r="F136" s="7"/>
      <c r="G136" s="7"/>
    </row>
    <row r="137">
      <c r="A137" s="7"/>
      <c r="B137" s="42"/>
      <c r="C137" s="9"/>
      <c r="D137" s="7"/>
      <c r="E137" s="7"/>
      <c r="F137" s="7"/>
      <c r="G137" s="7"/>
    </row>
    <row r="138">
      <c r="A138" s="7"/>
      <c r="B138" s="42"/>
      <c r="C138" s="9"/>
      <c r="D138" s="7"/>
      <c r="E138" s="7"/>
      <c r="F138" s="7"/>
      <c r="G138" s="7"/>
    </row>
    <row r="139">
      <c r="A139" s="7"/>
      <c r="B139" s="42"/>
      <c r="C139" s="9"/>
      <c r="D139" s="7"/>
      <c r="E139" s="7"/>
      <c r="F139" s="7"/>
      <c r="G139" s="7"/>
    </row>
    <row r="140">
      <c r="A140" s="7"/>
      <c r="B140" s="42"/>
      <c r="C140" s="9"/>
      <c r="D140" s="7"/>
      <c r="E140" s="7"/>
      <c r="F140" s="7"/>
      <c r="G140" s="7"/>
    </row>
    <row r="141">
      <c r="A141" s="7"/>
      <c r="B141" s="42"/>
      <c r="C141" s="9"/>
      <c r="D141" s="7"/>
      <c r="E141" s="7"/>
      <c r="F141" s="7"/>
      <c r="G141" s="7"/>
    </row>
    <row r="142">
      <c r="A142" s="7"/>
      <c r="B142" s="42"/>
      <c r="C142" s="9"/>
      <c r="D142" s="7"/>
      <c r="E142" s="7"/>
      <c r="F142" s="7"/>
      <c r="G142" s="7"/>
    </row>
    <row r="143">
      <c r="A143" s="7"/>
      <c r="B143" s="42"/>
      <c r="C143" s="9"/>
      <c r="D143" s="7"/>
      <c r="E143" s="7"/>
      <c r="F143" s="7"/>
      <c r="G143" s="7"/>
    </row>
    <row r="144">
      <c r="A144" s="7"/>
      <c r="B144" s="42"/>
      <c r="C144" s="9"/>
      <c r="D144" s="7"/>
      <c r="E144" s="7"/>
      <c r="F144" s="7"/>
      <c r="G144" s="7"/>
    </row>
    <row r="145">
      <c r="A145" s="7"/>
      <c r="B145" s="42"/>
      <c r="C145" s="9"/>
      <c r="D145" s="7"/>
      <c r="E145" s="7"/>
      <c r="F145" s="7"/>
      <c r="G145" s="7"/>
    </row>
    <row r="146">
      <c r="A146" s="7"/>
      <c r="B146" s="42"/>
      <c r="C146" s="9"/>
      <c r="D146" s="7"/>
      <c r="E146" s="7"/>
      <c r="F146" s="7"/>
      <c r="G146" s="7"/>
    </row>
    <row r="147">
      <c r="A147" s="7"/>
      <c r="B147" s="42"/>
      <c r="C147" s="9"/>
      <c r="D147" s="7"/>
      <c r="E147" s="7"/>
      <c r="F147" s="7"/>
      <c r="G147" s="7"/>
    </row>
    <row r="148">
      <c r="A148" s="7"/>
      <c r="B148" s="42"/>
      <c r="C148" s="9"/>
      <c r="D148" s="7"/>
      <c r="E148" s="7"/>
      <c r="F148" s="7"/>
      <c r="G148" s="7"/>
    </row>
    <row r="149">
      <c r="A149" s="7"/>
      <c r="B149" s="42"/>
      <c r="C149" s="9"/>
      <c r="D149" s="7"/>
      <c r="E149" s="7"/>
      <c r="F149" s="7"/>
      <c r="G149" s="7"/>
    </row>
    <row r="150">
      <c r="A150" s="7"/>
      <c r="B150" s="42"/>
      <c r="C150" s="9"/>
      <c r="D150" s="7"/>
      <c r="E150" s="7"/>
      <c r="F150" s="7"/>
      <c r="G150" s="7"/>
    </row>
    <row r="151">
      <c r="A151" s="7"/>
      <c r="B151" s="42"/>
      <c r="C151" s="9"/>
      <c r="D151" s="7"/>
      <c r="E151" s="7"/>
      <c r="F151" s="7"/>
      <c r="G151" s="7"/>
    </row>
    <row r="152">
      <c r="A152" s="7"/>
      <c r="B152" s="42"/>
      <c r="C152" s="9"/>
      <c r="D152" s="7"/>
      <c r="E152" s="7"/>
      <c r="F152" s="7"/>
      <c r="G152" s="7"/>
    </row>
    <row r="153">
      <c r="A153" s="7"/>
      <c r="B153" s="42"/>
      <c r="C153" s="9"/>
      <c r="D153" s="7"/>
      <c r="E153" s="7"/>
      <c r="F153" s="7"/>
      <c r="G153" s="7"/>
    </row>
    <row r="154">
      <c r="A154" s="7"/>
      <c r="B154" s="42"/>
      <c r="C154" s="9"/>
      <c r="D154" s="7"/>
      <c r="E154" s="7"/>
      <c r="F154" s="7"/>
      <c r="G154" s="7"/>
    </row>
    <row r="155">
      <c r="A155" s="7"/>
      <c r="B155" s="42"/>
      <c r="C155" s="9"/>
      <c r="D155" s="7"/>
      <c r="E155" s="7"/>
      <c r="F155" s="7"/>
      <c r="G155" s="7"/>
    </row>
    <row r="156">
      <c r="A156" s="7"/>
      <c r="B156" s="42"/>
      <c r="C156" s="9"/>
      <c r="D156" s="7"/>
      <c r="E156" s="7"/>
      <c r="F156" s="7"/>
      <c r="G156" s="7"/>
    </row>
    <row r="157">
      <c r="A157" s="7"/>
      <c r="B157" s="42"/>
      <c r="C157" s="9"/>
      <c r="D157" s="7"/>
      <c r="E157" s="7"/>
      <c r="F157" s="7"/>
      <c r="G157" s="7"/>
    </row>
    <row r="158">
      <c r="A158" s="7"/>
      <c r="B158" s="42"/>
      <c r="C158" s="9"/>
      <c r="D158" s="7"/>
      <c r="E158" s="7"/>
      <c r="F158" s="7"/>
      <c r="G158" s="7"/>
    </row>
    <row r="159">
      <c r="A159" s="7"/>
      <c r="B159" s="42"/>
      <c r="C159" s="9"/>
      <c r="D159" s="7"/>
      <c r="E159" s="7"/>
      <c r="F159" s="7"/>
      <c r="G159" s="7"/>
    </row>
    <row r="160">
      <c r="A160" s="7"/>
      <c r="B160" s="42"/>
      <c r="C160" s="9"/>
      <c r="D160" s="7"/>
      <c r="E160" s="7"/>
      <c r="F160" s="7"/>
      <c r="G160" s="7"/>
    </row>
    <row r="161">
      <c r="A161" s="7"/>
      <c r="B161" s="42"/>
      <c r="C161" s="9"/>
      <c r="D161" s="7"/>
      <c r="E161" s="7"/>
      <c r="F161" s="7"/>
      <c r="G161" s="7"/>
    </row>
    <row r="162">
      <c r="A162" s="7"/>
      <c r="B162" s="42"/>
      <c r="C162" s="9"/>
      <c r="D162" s="7"/>
      <c r="E162" s="7"/>
      <c r="F162" s="7"/>
      <c r="G162" s="7"/>
    </row>
    <row r="163">
      <c r="A163" s="7"/>
      <c r="B163" s="42"/>
      <c r="C163" s="9"/>
      <c r="D163" s="7"/>
      <c r="E163" s="7"/>
      <c r="F163" s="7"/>
      <c r="G163" s="7"/>
    </row>
    <row r="164">
      <c r="A164" s="7"/>
      <c r="B164" s="42"/>
      <c r="C164" s="9"/>
      <c r="D164" s="7"/>
      <c r="E164" s="7"/>
      <c r="F164" s="7"/>
      <c r="G164" s="7"/>
    </row>
    <row r="165">
      <c r="A165" s="7"/>
      <c r="B165" s="42"/>
      <c r="C165" s="9"/>
      <c r="D165" s="7"/>
      <c r="E165" s="7"/>
      <c r="F165" s="7"/>
      <c r="G165" s="7"/>
    </row>
    <row r="166">
      <c r="A166" s="7"/>
      <c r="B166" s="42"/>
      <c r="C166" s="9"/>
      <c r="D166" s="7"/>
      <c r="E166" s="7"/>
      <c r="F166" s="7"/>
      <c r="G166" s="7"/>
    </row>
    <row r="167">
      <c r="A167" s="7"/>
      <c r="B167" s="42"/>
      <c r="C167" s="9"/>
      <c r="D167" s="7"/>
      <c r="E167" s="7"/>
      <c r="F167" s="7"/>
      <c r="G167" s="7"/>
    </row>
    <row r="168">
      <c r="A168" s="7"/>
      <c r="B168" s="42"/>
      <c r="C168" s="9"/>
      <c r="D168" s="7"/>
      <c r="E168" s="7"/>
      <c r="F168" s="7"/>
      <c r="G168" s="7"/>
    </row>
    <row r="169">
      <c r="A169" s="7"/>
      <c r="B169" s="42"/>
      <c r="C169" s="9"/>
      <c r="D169" s="7"/>
      <c r="E169" s="7"/>
      <c r="F169" s="7"/>
      <c r="G169" s="7"/>
    </row>
    <row r="170">
      <c r="A170" s="7"/>
      <c r="B170" s="42"/>
      <c r="C170" s="9"/>
      <c r="D170" s="7"/>
      <c r="E170" s="7"/>
      <c r="F170" s="7"/>
      <c r="G170" s="7"/>
    </row>
    <row r="171">
      <c r="A171" s="7"/>
      <c r="B171" s="42"/>
      <c r="C171" s="9"/>
      <c r="D171" s="7"/>
      <c r="E171" s="7"/>
      <c r="F171" s="7"/>
      <c r="G171" s="7"/>
    </row>
    <row r="172">
      <c r="A172" s="7"/>
      <c r="B172" s="42"/>
      <c r="C172" s="9"/>
      <c r="D172" s="7"/>
      <c r="E172" s="7"/>
      <c r="F172" s="7"/>
      <c r="G172" s="7"/>
    </row>
    <row r="173">
      <c r="A173" s="7"/>
      <c r="B173" s="42"/>
      <c r="C173" s="9"/>
      <c r="D173" s="7"/>
      <c r="E173" s="7"/>
      <c r="F173" s="7"/>
      <c r="G173" s="7"/>
    </row>
    <row r="174">
      <c r="A174" s="7"/>
      <c r="B174" s="42"/>
      <c r="C174" s="9"/>
      <c r="D174" s="7"/>
      <c r="E174" s="7"/>
      <c r="F174" s="7"/>
      <c r="G174" s="7"/>
    </row>
    <row r="175">
      <c r="A175" s="7"/>
      <c r="B175" s="42"/>
      <c r="C175" s="9"/>
      <c r="D175" s="7"/>
      <c r="E175" s="7"/>
      <c r="F175" s="7"/>
      <c r="G175" s="7"/>
    </row>
    <row r="176">
      <c r="A176" s="7"/>
      <c r="B176" s="42"/>
      <c r="C176" s="9"/>
      <c r="D176" s="7"/>
      <c r="E176" s="7"/>
      <c r="F176" s="7"/>
      <c r="G176" s="7"/>
    </row>
    <row r="177">
      <c r="A177" s="7"/>
      <c r="B177" s="42"/>
      <c r="C177" s="9"/>
      <c r="D177" s="7"/>
      <c r="E177" s="7"/>
      <c r="F177" s="7"/>
      <c r="G177" s="7"/>
    </row>
    <row r="178">
      <c r="A178" s="7"/>
      <c r="B178" s="42"/>
      <c r="C178" s="9"/>
      <c r="D178" s="7"/>
      <c r="E178" s="7"/>
      <c r="F178" s="7"/>
      <c r="G178" s="7"/>
    </row>
    <row r="179">
      <c r="A179" s="7"/>
      <c r="B179" s="42"/>
      <c r="C179" s="9"/>
      <c r="D179" s="7"/>
      <c r="E179" s="7"/>
      <c r="F179" s="7"/>
      <c r="G179" s="7"/>
    </row>
    <row r="180">
      <c r="A180" s="7"/>
      <c r="B180" s="42"/>
      <c r="C180" s="9"/>
      <c r="D180" s="7"/>
      <c r="E180" s="7"/>
      <c r="F180" s="7"/>
      <c r="G180" s="7"/>
    </row>
    <row r="181">
      <c r="A181" s="7"/>
      <c r="B181" s="42"/>
      <c r="C181" s="9"/>
      <c r="D181" s="7"/>
      <c r="E181" s="7"/>
      <c r="F181" s="7"/>
      <c r="G181" s="7"/>
    </row>
    <row r="182">
      <c r="A182" s="7"/>
      <c r="B182" s="42"/>
      <c r="C182" s="9"/>
      <c r="D182" s="7"/>
      <c r="E182" s="7"/>
      <c r="F182" s="7"/>
      <c r="G182" s="7"/>
    </row>
    <row r="183">
      <c r="A183" s="7"/>
      <c r="B183" s="42"/>
      <c r="C183" s="9"/>
      <c r="D183" s="7"/>
      <c r="E183" s="7"/>
      <c r="F183" s="7"/>
      <c r="G183" s="7"/>
    </row>
    <row r="184">
      <c r="A184" s="7"/>
      <c r="B184" s="42"/>
      <c r="C184" s="9"/>
      <c r="D184" s="7"/>
      <c r="E184" s="7"/>
      <c r="F184" s="7"/>
      <c r="G184" s="7"/>
    </row>
    <row r="185">
      <c r="A185" s="7"/>
      <c r="B185" s="42"/>
      <c r="C185" s="9"/>
      <c r="D185" s="7"/>
      <c r="E185" s="7"/>
      <c r="F185" s="7"/>
      <c r="G185" s="7"/>
    </row>
    <row r="186">
      <c r="A186" s="7"/>
      <c r="B186" s="42"/>
      <c r="C186" s="9"/>
      <c r="D186" s="7"/>
      <c r="E186" s="7"/>
      <c r="F186" s="7"/>
      <c r="G186" s="7"/>
    </row>
    <row r="187">
      <c r="A187" s="7"/>
      <c r="B187" s="42"/>
      <c r="C187" s="9"/>
      <c r="D187" s="7"/>
      <c r="E187" s="7"/>
      <c r="F187" s="7"/>
      <c r="G187" s="7"/>
    </row>
    <row r="188">
      <c r="A188" s="7"/>
      <c r="B188" s="42"/>
      <c r="C188" s="9"/>
      <c r="D188" s="7"/>
      <c r="E188" s="7"/>
      <c r="F188" s="7"/>
      <c r="G188" s="7"/>
    </row>
    <row r="189">
      <c r="A189" s="7"/>
      <c r="B189" s="42"/>
      <c r="C189" s="9"/>
      <c r="D189" s="7"/>
      <c r="E189" s="7"/>
      <c r="F189" s="7"/>
      <c r="G189" s="7"/>
    </row>
    <row r="190">
      <c r="A190" s="7"/>
      <c r="B190" s="42"/>
      <c r="C190" s="9"/>
      <c r="D190" s="7"/>
      <c r="E190" s="7"/>
      <c r="F190" s="7"/>
      <c r="G190" s="7"/>
    </row>
    <row r="191">
      <c r="A191" s="7"/>
      <c r="B191" s="42"/>
      <c r="C191" s="9"/>
      <c r="D191" s="7"/>
      <c r="E191" s="7"/>
      <c r="F191" s="7"/>
      <c r="G191" s="7"/>
    </row>
    <row r="192">
      <c r="A192" s="7"/>
      <c r="B192" s="42"/>
      <c r="C192" s="9"/>
      <c r="D192" s="7"/>
      <c r="E192" s="7"/>
      <c r="F192" s="7"/>
      <c r="G192" s="7"/>
    </row>
    <row r="193">
      <c r="A193" s="7"/>
      <c r="B193" s="42"/>
      <c r="C193" s="9"/>
      <c r="D193" s="7"/>
      <c r="E193" s="7"/>
      <c r="F193" s="7"/>
      <c r="G193" s="7"/>
    </row>
    <row r="194">
      <c r="A194" s="7"/>
      <c r="B194" s="42"/>
      <c r="C194" s="9"/>
      <c r="D194" s="7"/>
      <c r="E194" s="7"/>
      <c r="F194" s="7"/>
      <c r="G194" s="7"/>
    </row>
    <row r="195">
      <c r="A195" s="7"/>
      <c r="B195" s="42"/>
      <c r="C195" s="9"/>
      <c r="D195" s="7"/>
      <c r="E195" s="7"/>
      <c r="F195" s="7"/>
      <c r="G195" s="7"/>
    </row>
    <row r="196">
      <c r="A196" s="7"/>
      <c r="B196" s="42"/>
      <c r="C196" s="9"/>
      <c r="D196" s="7"/>
      <c r="E196" s="7"/>
      <c r="F196" s="7"/>
      <c r="G196" s="7"/>
    </row>
    <row r="197">
      <c r="A197" s="7"/>
      <c r="B197" s="42"/>
      <c r="C197" s="9"/>
      <c r="D197" s="7"/>
      <c r="E197" s="7"/>
      <c r="F197" s="7"/>
      <c r="G197" s="7"/>
    </row>
    <row r="198">
      <c r="A198" s="7"/>
      <c r="B198" s="42"/>
      <c r="C198" s="9"/>
      <c r="D198" s="7"/>
      <c r="E198" s="7"/>
      <c r="F198" s="7"/>
      <c r="G198" s="7"/>
    </row>
    <row r="199">
      <c r="A199" s="7"/>
      <c r="B199" s="42"/>
      <c r="C199" s="9"/>
      <c r="D199" s="7"/>
      <c r="E199" s="7"/>
      <c r="F199" s="7"/>
      <c r="G199" s="7"/>
    </row>
    <row r="200">
      <c r="A200" s="7"/>
      <c r="B200" s="42"/>
      <c r="C200" s="9"/>
      <c r="D200" s="7"/>
      <c r="E200" s="7"/>
      <c r="F200" s="7"/>
      <c r="G200" s="7"/>
    </row>
    <row r="201">
      <c r="A201" s="7"/>
      <c r="B201" s="42"/>
      <c r="C201" s="9"/>
      <c r="D201" s="7"/>
      <c r="E201" s="7"/>
      <c r="F201" s="7"/>
      <c r="G201" s="7"/>
    </row>
    <row r="202">
      <c r="A202" s="7"/>
      <c r="B202" s="42"/>
      <c r="C202" s="9"/>
      <c r="D202" s="7"/>
      <c r="E202" s="7"/>
      <c r="F202" s="7"/>
      <c r="G202" s="7"/>
    </row>
    <row r="203">
      <c r="A203" s="7"/>
      <c r="B203" s="42"/>
      <c r="C203" s="9"/>
      <c r="D203" s="7"/>
      <c r="E203" s="7"/>
      <c r="F203" s="7"/>
      <c r="G203" s="7"/>
    </row>
    <row r="204">
      <c r="A204" s="7"/>
      <c r="B204" s="42"/>
      <c r="C204" s="9"/>
      <c r="D204" s="7"/>
      <c r="E204" s="7"/>
      <c r="F204" s="7"/>
      <c r="G204" s="7"/>
    </row>
    <row r="205">
      <c r="A205" s="7"/>
      <c r="B205" s="42"/>
      <c r="C205" s="9"/>
      <c r="D205" s="7"/>
      <c r="E205" s="7"/>
      <c r="F205" s="7"/>
      <c r="G205" s="7"/>
    </row>
    <row r="206">
      <c r="A206" s="7"/>
      <c r="B206" s="42"/>
      <c r="C206" s="9"/>
      <c r="D206" s="7"/>
      <c r="E206" s="7"/>
      <c r="F206" s="7"/>
      <c r="G206" s="7"/>
    </row>
    <row r="207">
      <c r="A207" s="7"/>
      <c r="B207" s="42"/>
      <c r="C207" s="9"/>
      <c r="D207" s="7"/>
      <c r="E207" s="7"/>
      <c r="F207" s="7"/>
      <c r="G207" s="7"/>
    </row>
    <row r="208">
      <c r="A208" s="7"/>
      <c r="B208" s="42"/>
      <c r="C208" s="9"/>
      <c r="D208" s="7"/>
      <c r="E208" s="7"/>
      <c r="F208" s="7"/>
      <c r="G208" s="7"/>
    </row>
    <row r="209">
      <c r="A209" s="7"/>
      <c r="B209" s="42"/>
      <c r="C209" s="9"/>
      <c r="D209" s="7"/>
      <c r="E209" s="7"/>
      <c r="F209" s="7"/>
      <c r="G209" s="7"/>
    </row>
    <row r="210">
      <c r="A210" s="7"/>
      <c r="B210" s="42"/>
      <c r="C210" s="9"/>
      <c r="D210" s="7"/>
      <c r="E210" s="7"/>
      <c r="F210" s="7"/>
      <c r="G210" s="7"/>
    </row>
    <row r="211">
      <c r="A211" s="7"/>
      <c r="B211" s="42"/>
      <c r="C211" s="9"/>
      <c r="D211" s="7"/>
      <c r="E211" s="7"/>
      <c r="F211" s="7"/>
      <c r="G211" s="7"/>
    </row>
    <row r="212">
      <c r="A212" s="7"/>
      <c r="B212" s="42"/>
      <c r="C212" s="9"/>
      <c r="D212" s="7"/>
      <c r="E212" s="7"/>
      <c r="F212" s="7"/>
      <c r="G212" s="7"/>
    </row>
    <row r="213">
      <c r="A213" s="7"/>
      <c r="B213" s="42"/>
      <c r="C213" s="9"/>
      <c r="D213" s="7"/>
      <c r="E213" s="7"/>
      <c r="F213" s="7"/>
      <c r="G213" s="7"/>
    </row>
    <row r="214">
      <c r="A214" s="7"/>
      <c r="B214" s="42"/>
      <c r="C214" s="9"/>
      <c r="D214" s="7"/>
      <c r="E214" s="7"/>
      <c r="F214" s="7"/>
      <c r="G214" s="7"/>
    </row>
    <row r="215">
      <c r="A215" s="7"/>
      <c r="B215" s="42"/>
      <c r="C215" s="9"/>
      <c r="D215" s="7"/>
      <c r="E215" s="7"/>
      <c r="F215" s="7"/>
      <c r="G215" s="7"/>
    </row>
    <row r="216">
      <c r="A216" s="7"/>
      <c r="B216" s="42"/>
      <c r="C216" s="9"/>
      <c r="D216" s="7"/>
      <c r="E216" s="7"/>
      <c r="F216" s="7"/>
      <c r="G216" s="7"/>
    </row>
    <row r="217">
      <c r="A217" s="7"/>
      <c r="B217" s="42"/>
      <c r="C217" s="9"/>
      <c r="D217" s="7"/>
      <c r="E217" s="7"/>
      <c r="F217" s="7"/>
      <c r="G217" s="7"/>
    </row>
    <row r="218">
      <c r="A218" s="7"/>
      <c r="B218" s="42"/>
      <c r="C218" s="9"/>
      <c r="D218" s="7"/>
      <c r="E218" s="7"/>
      <c r="F218" s="7"/>
      <c r="G218" s="7"/>
    </row>
    <row r="219">
      <c r="A219" s="7"/>
      <c r="B219" s="42"/>
      <c r="C219" s="9"/>
      <c r="D219" s="7"/>
      <c r="E219" s="7"/>
      <c r="F219" s="7"/>
      <c r="G219" s="7"/>
    </row>
    <row r="220">
      <c r="A220" s="7"/>
      <c r="B220" s="42"/>
      <c r="C220" s="9"/>
      <c r="D220" s="7"/>
      <c r="E220" s="7"/>
      <c r="F220" s="7"/>
      <c r="G220" s="7"/>
    </row>
    <row r="221">
      <c r="A221" s="7"/>
      <c r="B221" s="42"/>
      <c r="C221" s="9"/>
      <c r="D221" s="7"/>
      <c r="E221" s="7"/>
      <c r="F221" s="7"/>
      <c r="G221" s="7"/>
    </row>
    <row r="222">
      <c r="A222" s="7"/>
      <c r="B222" s="42"/>
      <c r="C222" s="9"/>
      <c r="D222" s="7"/>
      <c r="E222" s="7"/>
      <c r="F222" s="7"/>
      <c r="G222" s="7"/>
    </row>
    <row r="223">
      <c r="A223" s="7"/>
      <c r="B223" s="42"/>
      <c r="C223" s="9"/>
      <c r="D223" s="7"/>
      <c r="E223" s="7"/>
      <c r="F223" s="7"/>
      <c r="G223" s="7"/>
    </row>
    <row r="224">
      <c r="A224" s="7"/>
      <c r="B224" s="42"/>
      <c r="C224" s="9"/>
      <c r="D224" s="7"/>
      <c r="E224" s="7"/>
      <c r="F224" s="7"/>
      <c r="G224" s="7"/>
    </row>
    <row r="225">
      <c r="A225" s="7"/>
      <c r="B225" s="42"/>
      <c r="C225" s="9"/>
      <c r="D225" s="7"/>
      <c r="E225" s="7"/>
      <c r="F225" s="7"/>
      <c r="G225" s="7"/>
    </row>
    <row r="226">
      <c r="A226" s="7"/>
      <c r="B226" s="42"/>
      <c r="C226" s="9"/>
      <c r="D226" s="7"/>
      <c r="E226" s="7"/>
      <c r="F226" s="7"/>
      <c r="G226" s="7"/>
    </row>
    <row r="227">
      <c r="A227" s="7"/>
      <c r="B227" s="42"/>
      <c r="C227" s="9"/>
      <c r="D227" s="7"/>
      <c r="E227" s="7"/>
      <c r="F227" s="7"/>
      <c r="G227" s="7"/>
    </row>
    <row r="228">
      <c r="A228" s="7"/>
      <c r="B228" s="42"/>
      <c r="C228" s="9"/>
      <c r="D228" s="7"/>
      <c r="E228" s="7"/>
      <c r="F228" s="7"/>
      <c r="G228" s="7"/>
    </row>
    <row r="229">
      <c r="A229" s="7"/>
      <c r="B229" s="42"/>
      <c r="C229" s="9"/>
      <c r="D229" s="7"/>
      <c r="E229" s="7"/>
      <c r="F229" s="7"/>
      <c r="G229" s="7"/>
    </row>
    <row r="230">
      <c r="A230" s="7"/>
      <c r="B230" s="42"/>
      <c r="C230" s="9"/>
      <c r="D230" s="7"/>
      <c r="E230" s="7"/>
      <c r="F230" s="7"/>
      <c r="G230" s="7"/>
    </row>
    <row r="231">
      <c r="A231" s="7"/>
      <c r="B231" s="42"/>
      <c r="C231" s="9"/>
      <c r="D231" s="7"/>
      <c r="E231" s="7"/>
      <c r="F231" s="7"/>
      <c r="G231" s="7"/>
    </row>
    <row r="232">
      <c r="A232" s="7"/>
      <c r="B232" s="42"/>
      <c r="C232" s="9"/>
      <c r="D232" s="7"/>
      <c r="E232" s="7"/>
      <c r="F232" s="7"/>
      <c r="G232" s="7"/>
    </row>
    <row r="233">
      <c r="A233" s="7"/>
      <c r="B233" s="42"/>
      <c r="C233" s="9"/>
      <c r="D233" s="7"/>
      <c r="E233" s="7"/>
      <c r="F233" s="7"/>
      <c r="G233" s="7"/>
    </row>
    <row r="234">
      <c r="A234" s="7"/>
      <c r="B234" s="42"/>
      <c r="C234" s="9"/>
      <c r="D234" s="7"/>
      <c r="E234" s="7"/>
      <c r="F234" s="7"/>
      <c r="G234" s="7"/>
    </row>
    <row r="235">
      <c r="A235" s="7"/>
      <c r="B235" s="42"/>
      <c r="C235" s="9"/>
      <c r="D235" s="7"/>
      <c r="E235" s="7"/>
      <c r="F235" s="7"/>
      <c r="G235" s="7"/>
    </row>
    <row r="236">
      <c r="A236" s="7"/>
      <c r="B236" s="42"/>
      <c r="C236" s="9"/>
      <c r="D236" s="7"/>
      <c r="E236" s="7"/>
      <c r="F236" s="7"/>
      <c r="G236" s="7"/>
    </row>
    <row r="237">
      <c r="A237" s="7"/>
      <c r="B237" s="42"/>
      <c r="C237" s="9"/>
      <c r="D237" s="7"/>
      <c r="E237" s="7"/>
      <c r="F237" s="7"/>
      <c r="G237" s="7"/>
    </row>
    <row r="238">
      <c r="A238" s="7"/>
      <c r="B238" s="42"/>
      <c r="C238" s="9"/>
      <c r="D238" s="7"/>
      <c r="E238" s="7"/>
      <c r="F238" s="7"/>
      <c r="G238" s="7"/>
    </row>
    <row r="239">
      <c r="A239" s="7"/>
      <c r="B239" s="42"/>
      <c r="C239" s="9"/>
      <c r="D239" s="7"/>
      <c r="E239" s="7"/>
      <c r="F239" s="7"/>
      <c r="G239" s="7"/>
    </row>
    <row r="240">
      <c r="A240" s="7"/>
      <c r="B240" s="42"/>
      <c r="C240" s="9"/>
      <c r="D240" s="7"/>
      <c r="E240" s="7"/>
      <c r="F240" s="7"/>
      <c r="G240" s="7"/>
    </row>
    <row r="241">
      <c r="A241" s="7"/>
      <c r="B241" s="42"/>
      <c r="C241" s="9"/>
      <c r="D241" s="7"/>
      <c r="E241" s="7"/>
      <c r="F241" s="7"/>
      <c r="G241" s="7"/>
    </row>
    <row r="242">
      <c r="A242" s="7"/>
      <c r="B242" s="42"/>
      <c r="C242" s="9"/>
      <c r="D242" s="7"/>
      <c r="E242" s="7"/>
      <c r="F242" s="7"/>
      <c r="G242" s="7"/>
    </row>
    <row r="243">
      <c r="A243" s="7"/>
      <c r="B243" s="42"/>
      <c r="C243" s="9"/>
      <c r="D243" s="7"/>
      <c r="E243" s="7"/>
      <c r="F243" s="7"/>
      <c r="G243" s="7"/>
    </row>
    <row r="244">
      <c r="A244" s="7"/>
      <c r="B244" s="42"/>
      <c r="C244" s="9"/>
      <c r="D244" s="7"/>
      <c r="E244" s="7"/>
      <c r="F244" s="7"/>
      <c r="G244" s="7"/>
    </row>
    <row r="245">
      <c r="A245" s="7"/>
      <c r="B245" s="42"/>
      <c r="C245" s="9"/>
      <c r="D245" s="7"/>
      <c r="E245" s="7"/>
      <c r="F245" s="7"/>
      <c r="G245" s="7"/>
    </row>
    <row r="246">
      <c r="A246" s="7"/>
      <c r="B246" s="42"/>
      <c r="C246" s="9"/>
      <c r="D246" s="7"/>
      <c r="E246" s="7"/>
      <c r="F246" s="7"/>
      <c r="G246" s="7"/>
    </row>
    <row r="247">
      <c r="A247" s="7"/>
      <c r="B247" s="42"/>
      <c r="C247" s="9"/>
      <c r="D247" s="7"/>
      <c r="E247" s="7"/>
      <c r="F247" s="7"/>
      <c r="G247" s="7"/>
    </row>
    <row r="248">
      <c r="A248" s="7"/>
      <c r="B248" s="42"/>
      <c r="C248" s="9"/>
      <c r="D248" s="7"/>
      <c r="E248" s="7"/>
      <c r="F248" s="7"/>
      <c r="G248" s="7"/>
    </row>
    <row r="249">
      <c r="A249" s="7"/>
      <c r="B249" s="42"/>
      <c r="C249" s="9"/>
      <c r="D249" s="7"/>
      <c r="E249" s="7"/>
      <c r="F249" s="7"/>
      <c r="G249" s="7"/>
    </row>
    <row r="250">
      <c r="A250" s="7"/>
      <c r="B250" s="42"/>
      <c r="C250" s="9"/>
      <c r="D250" s="7"/>
      <c r="E250" s="7"/>
      <c r="F250" s="7"/>
      <c r="G250" s="7"/>
    </row>
    <row r="251">
      <c r="A251" s="7"/>
      <c r="B251" s="42"/>
      <c r="C251" s="9"/>
      <c r="D251" s="7"/>
      <c r="E251" s="7"/>
      <c r="F251" s="7"/>
      <c r="G251" s="7"/>
    </row>
    <row r="252">
      <c r="A252" s="7"/>
      <c r="B252" s="42"/>
      <c r="C252" s="9"/>
      <c r="D252" s="7"/>
      <c r="E252" s="7"/>
      <c r="F252" s="7"/>
      <c r="G252" s="7"/>
    </row>
    <row r="253">
      <c r="A253" s="7"/>
      <c r="B253" s="42"/>
      <c r="C253" s="9"/>
      <c r="D253" s="7"/>
      <c r="E253" s="7"/>
      <c r="F253" s="7"/>
      <c r="G253" s="7"/>
    </row>
    <row r="254">
      <c r="A254" s="7"/>
      <c r="B254" s="42"/>
      <c r="C254" s="9"/>
      <c r="D254" s="7"/>
      <c r="E254" s="7"/>
      <c r="F254" s="7"/>
      <c r="G254" s="7"/>
    </row>
    <row r="255">
      <c r="A255" s="7"/>
      <c r="B255" s="42"/>
      <c r="C255" s="9"/>
      <c r="D255" s="7"/>
      <c r="E255" s="7"/>
      <c r="F255" s="7"/>
      <c r="G255" s="7"/>
    </row>
    <row r="256">
      <c r="A256" s="7"/>
      <c r="B256" s="42"/>
      <c r="C256" s="9"/>
      <c r="D256" s="7"/>
      <c r="E256" s="7"/>
      <c r="F256" s="7"/>
      <c r="G256" s="7"/>
    </row>
    <row r="257">
      <c r="A257" s="7"/>
      <c r="B257" s="42"/>
      <c r="C257" s="9"/>
      <c r="D257" s="7"/>
      <c r="E257" s="7"/>
      <c r="F257" s="7"/>
      <c r="G257" s="7"/>
    </row>
    <row r="258">
      <c r="A258" s="7"/>
      <c r="B258" s="42"/>
      <c r="C258" s="9"/>
      <c r="D258" s="7"/>
      <c r="E258" s="7"/>
      <c r="F258" s="7"/>
      <c r="G258" s="7"/>
    </row>
    <row r="259">
      <c r="A259" s="7"/>
      <c r="B259" s="42"/>
      <c r="C259" s="9"/>
      <c r="D259" s="7"/>
      <c r="E259" s="7"/>
      <c r="F259" s="7"/>
      <c r="G259" s="7"/>
    </row>
    <row r="260">
      <c r="A260" s="7"/>
      <c r="B260" s="42"/>
      <c r="C260" s="9"/>
      <c r="D260" s="7"/>
      <c r="E260" s="7"/>
      <c r="F260" s="7"/>
      <c r="G260" s="7"/>
    </row>
    <row r="261">
      <c r="A261" s="7"/>
      <c r="B261" s="42"/>
      <c r="C261" s="9"/>
      <c r="D261" s="7"/>
      <c r="E261" s="7"/>
      <c r="F261" s="7"/>
      <c r="G261" s="7"/>
    </row>
  </sheetData>
  <hyperlinks>
    <hyperlink r:id="rId1" ref="B39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6.63"/>
    <col customWidth="1" min="3" max="3" width="50.13"/>
    <col customWidth="1" min="4" max="6" width="20.63"/>
    <col customWidth="1" min="7" max="7" width="3.5"/>
  </cols>
  <sheetData>
    <row r="1">
      <c r="A1" s="7"/>
      <c r="B1" s="17" t="s">
        <v>265</v>
      </c>
      <c r="C1" s="9"/>
      <c r="D1" s="15"/>
      <c r="E1" s="15"/>
      <c r="F1" s="15"/>
      <c r="G1" s="7"/>
    </row>
    <row r="2">
      <c r="A2" s="7"/>
      <c r="B2" s="9"/>
      <c r="C2" s="9"/>
      <c r="D2" s="15"/>
      <c r="E2" s="15"/>
      <c r="F2" s="15"/>
      <c r="G2" s="7"/>
    </row>
    <row r="3">
      <c r="A3" s="7"/>
      <c r="B3" s="9" t="s">
        <v>266</v>
      </c>
      <c r="C3" s="9"/>
      <c r="D3" s="15"/>
      <c r="E3" s="15"/>
      <c r="F3" s="15"/>
      <c r="G3" s="7"/>
    </row>
    <row r="4">
      <c r="A4" s="7"/>
      <c r="B4" s="9" t="s">
        <v>267</v>
      </c>
      <c r="C4" s="9"/>
      <c r="D4" s="15"/>
      <c r="E4" s="15"/>
      <c r="F4" s="15"/>
      <c r="G4" s="7"/>
    </row>
    <row r="5">
      <c r="A5" s="7"/>
      <c r="B5" s="9" t="s">
        <v>268</v>
      </c>
      <c r="C5" s="9"/>
      <c r="D5" s="15"/>
      <c r="E5" s="15"/>
      <c r="F5" s="15"/>
      <c r="G5" s="7"/>
    </row>
    <row r="6">
      <c r="A6" s="7"/>
      <c r="B6" s="9" t="s">
        <v>269</v>
      </c>
      <c r="C6" s="9"/>
      <c r="D6" s="15"/>
      <c r="E6" s="15"/>
      <c r="F6" s="15"/>
      <c r="G6" s="7"/>
    </row>
    <row r="7">
      <c r="A7" s="7"/>
      <c r="B7" s="9" t="s">
        <v>270</v>
      </c>
      <c r="C7" s="9"/>
      <c r="D7" s="15"/>
      <c r="E7" s="15"/>
      <c r="F7" s="15"/>
      <c r="G7" s="7"/>
    </row>
    <row r="8">
      <c r="A8" s="7"/>
      <c r="B8" s="7"/>
      <c r="C8" s="8"/>
      <c r="D8" s="7"/>
      <c r="E8" s="7"/>
      <c r="F8" s="7"/>
      <c r="G8" s="7"/>
    </row>
    <row r="9">
      <c r="A9" s="7"/>
      <c r="B9" s="25" t="s">
        <v>280</v>
      </c>
      <c r="C9" s="25" t="s">
        <v>281</v>
      </c>
      <c r="D9" s="25" t="s">
        <v>282</v>
      </c>
      <c r="E9" s="25"/>
      <c r="F9" s="25"/>
      <c r="G9" s="7"/>
    </row>
    <row r="10">
      <c r="A10" s="7"/>
      <c r="B10" s="9"/>
      <c r="C10" s="9"/>
      <c r="D10" s="15"/>
      <c r="E10" s="15"/>
      <c r="F10" s="15"/>
      <c r="G10" s="7"/>
    </row>
    <row r="11">
      <c r="A11" s="7"/>
      <c r="B11" s="9"/>
      <c r="C11" s="9"/>
      <c r="D11" s="15"/>
      <c r="E11" s="15"/>
      <c r="F11" s="15"/>
      <c r="G11" s="7"/>
    </row>
    <row r="12">
      <c r="A12" s="7"/>
      <c r="B12" s="9"/>
      <c r="C12" s="9"/>
      <c r="D12" s="15"/>
      <c r="E12" s="15"/>
      <c r="F12" s="15"/>
      <c r="G12" s="7"/>
    </row>
    <row r="13">
      <c r="A13" s="7"/>
      <c r="B13" s="9"/>
      <c r="C13" s="9"/>
      <c r="D13" s="15"/>
      <c r="E13" s="15"/>
      <c r="F13" s="15"/>
      <c r="G13" s="7"/>
    </row>
    <row r="14">
      <c r="A14" s="7"/>
      <c r="B14" s="9" t="s">
        <v>289</v>
      </c>
      <c r="C14" s="9" t="s">
        <v>290</v>
      </c>
      <c r="D14" s="59" t="s">
        <v>291</v>
      </c>
      <c r="E14" s="15"/>
      <c r="F14" s="15"/>
      <c r="G14" s="7"/>
    </row>
    <row r="15">
      <c r="A15" s="7"/>
      <c r="B15" s="9" t="s">
        <v>294</v>
      </c>
      <c r="C15" s="9"/>
      <c r="D15" s="15"/>
      <c r="E15" s="15"/>
      <c r="F15" s="15"/>
      <c r="G15" s="7"/>
    </row>
    <row r="16">
      <c r="A16" s="7"/>
      <c r="B16" s="9" t="s">
        <v>295</v>
      </c>
      <c r="C16" s="9"/>
      <c r="D16" s="15"/>
      <c r="E16" s="15"/>
      <c r="F16" s="15"/>
      <c r="G16" s="7"/>
    </row>
    <row r="17">
      <c r="A17" s="7"/>
      <c r="B17" s="9" t="s">
        <v>296</v>
      </c>
      <c r="C17" s="9"/>
      <c r="D17" s="15"/>
      <c r="E17" s="15"/>
      <c r="F17" s="15"/>
      <c r="G17" s="7"/>
    </row>
    <row r="18">
      <c r="A18" s="7"/>
      <c r="B18" s="9"/>
      <c r="C18" s="9"/>
      <c r="D18" s="15"/>
      <c r="E18" s="15"/>
      <c r="F18" s="15"/>
      <c r="G18" s="7"/>
    </row>
    <row r="19">
      <c r="A19" s="7"/>
      <c r="B19" s="9"/>
      <c r="C19" s="9"/>
      <c r="D19" s="15"/>
      <c r="E19" s="15"/>
      <c r="F19" s="15"/>
      <c r="G19" s="7"/>
    </row>
    <row r="20">
      <c r="A20" s="7"/>
      <c r="B20" s="9"/>
      <c r="C20" s="9"/>
      <c r="D20" s="15"/>
      <c r="E20" s="15"/>
      <c r="F20" s="15"/>
      <c r="G20" s="7"/>
    </row>
    <row r="21">
      <c r="A21" s="7"/>
      <c r="B21" s="9"/>
      <c r="C21" s="17" t="s">
        <v>303</v>
      </c>
      <c r="D21" s="15"/>
      <c r="E21" s="15" t="s">
        <v>304</v>
      </c>
      <c r="F21" s="15" t="s">
        <v>50</v>
      </c>
      <c r="G21" s="7"/>
    </row>
    <row r="22">
      <c r="A22" s="7"/>
      <c r="B22" s="17" t="s">
        <v>306</v>
      </c>
      <c r="C22" s="17" t="s">
        <v>307</v>
      </c>
      <c r="D22" s="15" t="s">
        <v>309</v>
      </c>
      <c r="E22" s="15"/>
      <c r="F22" s="9" t="s">
        <v>310</v>
      </c>
      <c r="G22" s="7"/>
    </row>
    <row r="23">
      <c r="A23" s="7"/>
      <c r="B23" s="17" t="s">
        <v>311</v>
      </c>
      <c r="C23" s="17" t="s">
        <v>312</v>
      </c>
      <c r="D23" s="15" t="s">
        <v>313</v>
      </c>
      <c r="E23" s="15" t="s">
        <v>314</v>
      </c>
      <c r="F23" s="9" t="s">
        <v>315</v>
      </c>
      <c r="G23" s="7"/>
    </row>
    <row r="24">
      <c r="A24" s="7"/>
      <c r="B24" s="17" t="s">
        <v>306</v>
      </c>
      <c r="C24" s="17" t="s">
        <v>317</v>
      </c>
      <c r="D24" s="15" t="s">
        <v>318</v>
      </c>
      <c r="E24" s="15" t="s">
        <v>319</v>
      </c>
      <c r="F24" s="9" t="s">
        <v>321</v>
      </c>
      <c r="G24" s="7"/>
    </row>
    <row r="25">
      <c r="A25" s="7"/>
      <c r="B25" s="9" t="s">
        <v>322</v>
      </c>
      <c r="C25" s="17" t="s">
        <v>323</v>
      </c>
      <c r="D25" s="15" t="s">
        <v>324</v>
      </c>
      <c r="E25" s="7"/>
      <c r="F25" s="9" t="s">
        <v>325</v>
      </c>
      <c r="G25" s="7"/>
    </row>
    <row r="26">
      <c r="A26" s="7"/>
      <c r="B26" s="9" t="s">
        <v>326</v>
      </c>
      <c r="C26" s="17" t="s">
        <v>327</v>
      </c>
      <c r="D26" s="15" t="s">
        <v>328</v>
      </c>
      <c r="E26" s="7"/>
      <c r="F26" s="42"/>
      <c r="G26" s="7"/>
    </row>
    <row r="27">
      <c r="A27" s="7"/>
      <c r="B27" s="9" t="s">
        <v>326</v>
      </c>
      <c r="C27" s="17" t="s">
        <v>329</v>
      </c>
      <c r="D27" s="15" t="s">
        <v>330</v>
      </c>
      <c r="E27" s="15" t="s">
        <v>331</v>
      </c>
      <c r="F27" s="9"/>
      <c r="G27" s="7"/>
    </row>
    <row r="28">
      <c r="A28" s="7"/>
      <c r="B28" s="9" t="s">
        <v>332</v>
      </c>
      <c r="C28" s="17" t="s">
        <v>333</v>
      </c>
      <c r="D28" s="15" t="s">
        <v>334</v>
      </c>
      <c r="E28" s="15" t="s">
        <v>335</v>
      </c>
      <c r="F28" s="9" t="s">
        <v>336</v>
      </c>
      <c r="G28" s="7"/>
    </row>
    <row r="29">
      <c r="A29" s="7"/>
      <c r="B29" s="17" t="s">
        <v>337</v>
      </c>
      <c r="C29" s="17" t="s">
        <v>339</v>
      </c>
      <c r="D29" s="15" t="s">
        <v>340</v>
      </c>
      <c r="E29" s="15"/>
      <c r="F29" s="9" t="s">
        <v>341</v>
      </c>
      <c r="G29" s="7"/>
    </row>
    <row r="30">
      <c r="A30" s="7"/>
      <c r="B30" s="9" t="s">
        <v>342</v>
      </c>
      <c r="C30" s="17" t="s">
        <v>344</v>
      </c>
      <c r="D30" s="15" t="s">
        <v>345</v>
      </c>
      <c r="E30" s="7"/>
      <c r="F30" s="42"/>
      <c r="G30" s="7"/>
    </row>
    <row r="31">
      <c r="A31" s="7"/>
      <c r="B31" s="9"/>
      <c r="C31" s="17" t="s">
        <v>346</v>
      </c>
      <c r="D31" s="15" t="s">
        <v>347</v>
      </c>
      <c r="E31" s="15"/>
      <c r="F31" s="9"/>
      <c r="G31" s="7"/>
    </row>
    <row r="32">
      <c r="A32" s="7"/>
      <c r="B32" s="9"/>
      <c r="C32" s="17"/>
      <c r="D32" s="15"/>
      <c r="E32" s="15"/>
      <c r="F32" s="9"/>
      <c r="G32" s="7"/>
    </row>
    <row r="33" hidden="1">
      <c r="A33" s="7"/>
      <c r="B33" s="9"/>
      <c r="C33" s="9" t="s">
        <v>348</v>
      </c>
      <c r="D33" s="15"/>
      <c r="E33" s="15"/>
      <c r="F33" s="9"/>
      <c r="G33" s="7"/>
    </row>
    <row r="34" hidden="1">
      <c r="A34" s="7"/>
      <c r="B34" s="9"/>
      <c r="C34" s="9" t="s">
        <v>349</v>
      </c>
      <c r="D34" s="15"/>
      <c r="E34" s="15"/>
      <c r="F34" s="9"/>
      <c r="G34" s="7"/>
    </row>
    <row r="35" hidden="1">
      <c r="A35" s="7"/>
      <c r="B35" s="9"/>
      <c r="C35" s="9"/>
      <c r="D35" s="15"/>
      <c r="E35" s="15"/>
      <c r="F35" s="9"/>
      <c r="G35" s="7"/>
    </row>
    <row r="36" hidden="1">
      <c r="A36" s="7"/>
      <c r="B36" s="9"/>
      <c r="C36" s="9" t="s">
        <v>350</v>
      </c>
      <c r="D36" s="15"/>
      <c r="E36" s="15"/>
      <c r="F36" s="9"/>
      <c r="G36" s="7"/>
    </row>
    <row r="37" hidden="1">
      <c r="A37" s="7"/>
      <c r="B37" s="9"/>
      <c r="C37" s="9"/>
      <c r="D37" s="15"/>
      <c r="E37" s="15"/>
      <c r="F37" s="9"/>
      <c r="G37" s="7"/>
    </row>
    <row r="38" hidden="1">
      <c r="A38" s="7"/>
      <c r="B38" s="9"/>
      <c r="C38" s="9" t="s">
        <v>351</v>
      </c>
      <c r="D38" s="15"/>
      <c r="E38" s="15"/>
      <c r="F38" s="9"/>
      <c r="G38" s="7"/>
    </row>
    <row r="39" hidden="1">
      <c r="A39" s="7"/>
      <c r="B39" s="9"/>
      <c r="C39" s="9" t="s">
        <v>352</v>
      </c>
      <c r="D39" s="15"/>
      <c r="E39" s="15"/>
      <c r="F39" s="9"/>
      <c r="G39" s="7"/>
    </row>
    <row r="40" hidden="1">
      <c r="A40" s="7"/>
      <c r="B40" s="9"/>
      <c r="C40" s="9" t="s">
        <v>353</v>
      </c>
      <c r="D40" s="15"/>
      <c r="E40" s="15"/>
      <c r="F40" s="9"/>
      <c r="G40" s="7"/>
    </row>
    <row r="41" hidden="1">
      <c r="A41" s="7"/>
      <c r="B41" s="9"/>
      <c r="C41" s="9" t="s">
        <v>354</v>
      </c>
      <c r="D41" s="15"/>
      <c r="E41" s="15"/>
      <c r="F41" s="9"/>
      <c r="G41" s="7"/>
    </row>
    <row r="42" hidden="1">
      <c r="A42" s="7"/>
      <c r="B42" s="9"/>
      <c r="C42" s="9" t="s">
        <v>355</v>
      </c>
      <c r="D42" s="7"/>
      <c r="E42" s="7"/>
      <c r="F42" s="42"/>
      <c r="G42" s="7"/>
    </row>
    <row r="43" hidden="1">
      <c r="A43" s="7"/>
      <c r="B43" s="9"/>
      <c r="C43" s="9" t="s">
        <v>356</v>
      </c>
      <c r="D43" s="15"/>
      <c r="E43" s="15"/>
      <c r="F43" s="9"/>
      <c r="G43" s="7"/>
    </row>
    <row r="44" hidden="1">
      <c r="A44" s="7"/>
      <c r="B44" s="9"/>
      <c r="C44" s="9" t="s">
        <v>357</v>
      </c>
      <c r="D44" s="15"/>
      <c r="E44" s="15"/>
      <c r="F44" s="9"/>
      <c r="G44" s="7"/>
    </row>
    <row r="45" hidden="1">
      <c r="A45" s="7"/>
      <c r="B45" s="9"/>
      <c r="C45" s="9" t="s">
        <v>358</v>
      </c>
      <c r="D45" s="15"/>
      <c r="E45" s="15"/>
      <c r="F45" s="9"/>
      <c r="G45" s="7"/>
    </row>
    <row r="46" hidden="1">
      <c r="A46" s="7"/>
      <c r="B46" s="9"/>
      <c r="C46" s="9"/>
      <c r="D46" s="15"/>
      <c r="E46" s="15"/>
      <c r="F46" s="9"/>
      <c r="G46" s="7"/>
    </row>
    <row r="47" hidden="1">
      <c r="A47" s="7"/>
      <c r="B47" s="9"/>
      <c r="C47" s="9" t="s">
        <v>359</v>
      </c>
      <c r="D47" s="15"/>
      <c r="E47" s="15"/>
      <c r="F47" s="9"/>
      <c r="G47" s="7"/>
    </row>
    <row r="48" hidden="1">
      <c r="A48" s="7"/>
      <c r="B48" s="42"/>
      <c r="C48" s="42"/>
      <c r="D48" s="7"/>
      <c r="E48" s="7"/>
      <c r="F48" s="42"/>
      <c r="G48" s="7"/>
    </row>
    <row r="49" hidden="1">
      <c r="A49" s="7"/>
      <c r="B49" s="42"/>
      <c r="C49" s="9" t="s">
        <v>360</v>
      </c>
      <c r="D49" s="7"/>
      <c r="E49" s="7"/>
      <c r="F49" s="42"/>
      <c r="G49" s="7"/>
    </row>
    <row r="50" hidden="1">
      <c r="A50" s="7"/>
      <c r="B50" s="42"/>
      <c r="C50" s="9" t="s">
        <v>361</v>
      </c>
      <c r="D50" s="7"/>
      <c r="E50" s="7"/>
      <c r="F50" s="42"/>
      <c r="G50" s="7"/>
    </row>
    <row r="51" hidden="1">
      <c r="A51" s="7"/>
      <c r="B51" s="42"/>
      <c r="C51" s="9" t="s">
        <v>362</v>
      </c>
      <c r="D51" s="7"/>
      <c r="E51" s="7"/>
      <c r="F51" s="42"/>
      <c r="G51" s="7"/>
    </row>
    <row r="52" hidden="1">
      <c r="A52" s="7"/>
      <c r="B52" s="42"/>
      <c r="C52" s="9" t="s">
        <v>363</v>
      </c>
      <c r="D52" s="7"/>
      <c r="E52" s="7"/>
      <c r="F52" s="42"/>
      <c r="G52" s="7"/>
    </row>
    <row r="53" hidden="1">
      <c r="A53" s="7"/>
      <c r="B53" s="42"/>
      <c r="C53" s="9" t="s">
        <v>364</v>
      </c>
      <c r="D53" s="7"/>
      <c r="E53" s="7"/>
      <c r="F53" s="42"/>
      <c r="G53" s="7"/>
    </row>
    <row r="54" hidden="1">
      <c r="A54" s="7"/>
      <c r="B54" s="42"/>
      <c r="C54" s="9" t="s">
        <v>365</v>
      </c>
      <c r="D54" s="7"/>
      <c r="E54" s="7"/>
      <c r="F54" s="42"/>
      <c r="G54" s="7"/>
    </row>
    <row r="55" hidden="1">
      <c r="A55" s="7"/>
      <c r="B55" s="42"/>
      <c r="C55" s="9"/>
      <c r="D55" s="7"/>
      <c r="E55" s="7"/>
      <c r="F55" s="42"/>
      <c r="G55" s="7"/>
    </row>
    <row r="56" hidden="1">
      <c r="A56" s="7"/>
      <c r="B56" s="42"/>
      <c r="C56" s="9"/>
      <c r="D56" s="7"/>
      <c r="E56" s="7"/>
      <c r="F56" s="42"/>
      <c r="G56" s="7"/>
    </row>
    <row r="57" hidden="1">
      <c r="A57" s="7"/>
      <c r="B57" s="42"/>
      <c r="C57" s="9" t="s">
        <v>366</v>
      </c>
      <c r="D57" s="7"/>
      <c r="E57" s="7"/>
      <c r="F57" s="42"/>
      <c r="G57" s="7"/>
    </row>
    <row r="58" hidden="1">
      <c r="A58" s="7"/>
      <c r="B58" s="42"/>
      <c r="C58" s="9"/>
      <c r="D58" s="7"/>
      <c r="E58" s="7"/>
      <c r="F58" s="42"/>
      <c r="G58" s="7"/>
    </row>
    <row r="59" hidden="1">
      <c r="A59" s="7"/>
      <c r="B59" s="42"/>
      <c r="C59" s="9" t="s">
        <v>350</v>
      </c>
      <c r="D59" s="7"/>
      <c r="E59" s="7"/>
      <c r="F59" s="42"/>
      <c r="G59" s="7"/>
    </row>
    <row r="60" hidden="1">
      <c r="A60" s="7"/>
      <c r="B60" s="42"/>
      <c r="C60" s="9"/>
      <c r="D60" s="7"/>
      <c r="E60" s="7"/>
      <c r="F60" s="42"/>
      <c r="G60" s="7"/>
    </row>
    <row r="61" hidden="1">
      <c r="A61" s="7"/>
      <c r="B61" s="42"/>
      <c r="C61" s="9" t="s">
        <v>367</v>
      </c>
      <c r="D61" s="7"/>
      <c r="E61" s="7"/>
      <c r="F61" s="42"/>
      <c r="G61" s="7"/>
    </row>
    <row r="62" hidden="1">
      <c r="A62" s="7"/>
      <c r="B62" s="42"/>
      <c r="C62" s="9" t="s">
        <v>368</v>
      </c>
      <c r="D62" s="7"/>
      <c r="E62" s="7"/>
      <c r="F62" s="42"/>
      <c r="G62" s="7"/>
    </row>
    <row r="63" hidden="1">
      <c r="A63" s="7"/>
      <c r="B63" s="42"/>
      <c r="C63" s="9" t="s">
        <v>369</v>
      </c>
      <c r="D63" s="7"/>
      <c r="E63" s="7"/>
      <c r="F63" s="42"/>
      <c r="G63" s="7"/>
    </row>
    <row r="64" hidden="1">
      <c r="A64" s="7"/>
      <c r="B64" s="42"/>
      <c r="C64" s="9" t="s">
        <v>370</v>
      </c>
      <c r="D64" s="7"/>
      <c r="E64" s="7"/>
      <c r="F64" s="42"/>
      <c r="G64" s="7"/>
    </row>
    <row r="65" hidden="1">
      <c r="A65" s="7"/>
      <c r="B65" s="42"/>
      <c r="C65" s="9" t="s">
        <v>371</v>
      </c>
      <c r="D65" s="7"/>
      <c r="E65" s="7"/>
      <c r="F65" s="42"/>
      <c r="G65" s="7"/>
    </row>
    <row r="66" hidden="1">
      <c r="A66" s="7"/>
      <c r="B66" s="42"/>
      <c r="C66" s="9" t="s">
        <v>372</v>
      </c>
      <c r="D66" s="7"/>
      <c r="E66" s="7"/>
      <c r="F66" s="42"/>
      <c r="G66" s="7"/>
    </row>
    <row r="67" hidden="1">
      <c r="A67" s="7"/>
      <c r="B67" s="42"/>
      <c r="C67" s="9" t="s">
        <v>373</v>
      </c>
      <c r="D67" s="7"/>
      <c r="E67" s="7"/>
      <c r="F67" s="42"/>
      <c r="G67" s="7"/>
    </row>
    <row r="68" hidden="1">
      <c r="A68" s="7"/>
      <c r="B68" s="42"/>
      <c r="C68" s="9" t="s">
        <v>374</v>
      </c>
      <c r="D68" s="7"/>
      <c r="E68" s="7"/>
      <c r="F68" s="42"/>
      <c r="G68" s="7"/>
    </row>
    <row r="69" hidden="1">
      <c r="A69" s="7"/>
      <c r="B69" s="42"/>
      <c r="C69" s="9" t="s">
        <v>375</v>
      </c>
      <c r="D69" s="7"/>
      <c r="E69" s="7"/>
      <c r="F69" s="42"/>
      <c r="G69" s="7"/>
    </row>
    <row r="70" hidden="1">
      <c r="A70" s="7"/>
      <c r="B70" s="42"/>
      <c r="C70" s="9"/>
      <c r="D70" s="7"/>
      <c r="E70" s="7"/>
      <c r="F70" s="42"/>
      <c r="G70" s="7"/>
    </row>
    <row r="71" hidden="1">
      <c r="A71" s="7"/>
      <c r="B71" s="42"/>
      <c r="C71" s="9" t="s">
        <v>376</v>
      </c>
      <c r="D71" s="7"/>
      <c r="E71" s="7"/>
      <c r="F71" s="42"/>
      <c r="G71" s="7"/>
    </row>
    <row r="72" hidden="1">
      <c r="A72" s="7"/>
      <c r="B72" s="42"/>
      <c r="C72" s="9"/>
      <c r="D72" s="7"/>
      <c r="E72" s="7"/>
      <c r="F72" s="42"/>
      <c r="G72" s="7"/>
    </row>
    <row r="73" hidden="1">
      <c r="A73" s="7"/>
      <c r="B73" s="42"/>
      <c r="C73" s="9" t="s">
        <v>377</v>
      </c>
      <c r="D73" s="7"/>
      <c r="E73" s="7"/>
      <c r="F73" s="42"/>
      <c r="G73" s="7"/>
    </row>
    <row r="74" hidden="1">
      <c r="A74" s="7"/>
      <c r="B74" s="42"/>
      <c r="C74" s="9" t="s">
        <v>378</v>
      </c>
      <c r="D74" s="7"/>
      <c r="E74" s="7"/>
      <c r="F74" s="42"/>
      <c r="G74" s="7"/>
    </row>
    <row r="75" hidden="1">
      <c r="A75" s="7"/>
      <c r="B75" s="42"/>
      <c r="C75" s="9" t="s">
        <v>379</v>
      </c>
      <c r="D75" s="7"/>
      <c r="E75" s="7"/>
      <c r="F75" s="42"/>
      <c r="G75" s="7"/>
    </row>
    <row r="76" hidden="1">
      <c r="A76" s="7"/>
      <c r="B76" s="42"/>
      <c r="C76" s="9" t="s">
        <v>380</v>
      </c>
      <c r="D76" s="7"/>
      <c r="E76" s="7"/>
      <c r="F76" s="42"/>
      <c r="G76" s="7"/>
    </row>
    <row r="77" hidden="1">
      <c r="A77" s="7"/>
      <c r="B77" s="42"/>
      <c r="C77" s="9" t="s">
        <v>381</v>
      </c>
      <c r="D77" s="7"/>
      <c r="E77" s="7"/>
      <c r="F77" s="42"/>
      <c r="G77" s="7"/>
    </row>
    <row r="78" hidden="1">
      <c r="A78" s="7"/>
      <c r="B78" s="42"/>
      <c r="C78" s="9" t="s">
        <v>382</v>
      </c>
      <c r="D78" s="7"/>
      <c r="E78" s="7"/>
      <c r="F78" s="42"/>
      <c r="G78" s="7"/>
    </row>
    <row r="79" hidden="1">
      <c r="A79" s="7"/>
      <c r="B79" s="42"/>
      <c r="C79" s="9"/>
      <c r="D79" s="7"/>
      <c r="E79" s="7"/>
      <c r="F79" s="42"/>
      <c r="G79" s="7"/>
    </row>
    <row r="80" hidden="1">
      <c r="A80" s="7"/>
      <c r="B80" s="42"/>
      <c r="C80" s="9"/>
      <c r="D80" s="7"/>
      <c r="E80" s="7"/>
      <c r="F80" s="42"/>
      <c r="G80" s="7"/>
    </row>
    <row r="81" hidden="1">
      <c r="A81" s="7"/>
      <c r="B81" s="42"/>
      <c r="C81" s="9" t="s">
        <v>383</v>
      </c>
      <c r="D81" s="7"/>
      <c r="E81" s="7"/>
      <c r="F81" s="42"/>
      <c r="G81" s="7"/>
    </row>
    <row r="82" hidden="1">
      <c r="A82" s="7"/>
      <c r="B82" s="42"/>
      <c r="C82" s="9"/>
      <c r="D82" s="7"/>
      <c r="E82" s="7"/>
      <c r="F82" s="42"/>
      <c r="G82" s="7"/>
    </row>
    <row r="83" hidden="1">
      <c r="A83" s="7"/>
      <c r="B83" s="42"/>
      <c r="C83" s="9" t="s">
        <v>350</v>
      </c>
      <c r="D83" s="7"/>
      <c r="E83" s="7"/>
      <c r="F83" s="42"/>
      <c r="G83" s="7"/>
    </row>
    <row r="84" hidden="1">
      <c r="A84" s="7"/>
      <c r="B84" s="42"/>
      <c r="C84" s="9"/>
      <c r="D84" s="7"/>
      <c r="E84" s="7"/>
      <c r="F84" s="42"/>
      <c r="G84" s="7"/>
    </row>
    <row r="85" hidden="1">
      <c r="A85" s="7"/>
      <c r="B85" s="42"/>
      <c r="C85" s="9" t="s">
        <v>384</v>
      </c>
      <c r="D85" s="7"/>
      <c r="E85" s="7"/>
      <c r="F85" s="42"/>
      <c r="G85" s="7"/>
    </row>
    <row r="86" hidden="1">
      <c r="A86" s="7"/>
      <c r="B86" s="42"/>
      <c r="C86" s="9" t="s">
        <v>385</v>
      </c>
      <c r="D86" s="7"/>
      <c r="E86" s="7"/>
      <c r="F86" s="42"/>
      <c r="G86" s="7"/>
    </row>
    <row r="87" hidden="1">
      <c r="A87" s="7"/>
      <c r="B87" s="42"/>
      <c r="C87" s="9" t="s">
        <v>386</v>
      </c>
      <c r="D87" s="7"/>
      <c r="E87" s="7"/>
      <c r="F87" s="42"/>
      <c r="G87" s="7"/>
    </row>
    <row r="88" hidden="1">
      <c r="A88" s="7"/>
      <c r="B88" s="42"/>
      <c r="C88" s="9" t="s">
        <v>387</v>
      </c>
      <c r="D88" s="7"/>
      <c r="E88" s="7"/>
      <c r="F88" s="42"/>
      <c r="G88" s="7"/>
    </row>
    <row r="89" hidden="1">
      <c r="A89" s="7"/>
      <c r="B89" s="42"/>
      <c r="C89" s="9" t="s">
        <v>388</v>
      </c>
      <c r="D89" s="7"/>
      <c r="E89" s="7"/>
      <c r="F89" s="42"/>
      <c r="G89" s="7"/>
    </row>
    <row r="90" hidden="1">
      <c r="A90" s="7"/>
      <c r="B90" s="42"/>
      <c r="C90" s="9" t="s">
        <v>389</v>
      </c>
      <c r="D90" s="7"/>
      <c r="E90" s="7"/>
      <c r="F90" s="42"/>
      <c r="G90" s="7"/>
    </row>
    <row r="91" hidden="1">
      <c r="A91" s="7"/>
      <c r="B91" s="42"/>
      <c r="C91" s="9" t="s">
        <v>390</v>
      </c>
      <c r="D91" s="7"/>
      <c r="E91" s="7"/>
      <c r="F91" s="42"/>
      <c r="G91" s="7"/>
    </row>
    <row r="92" hidden="1">
      <c r="A92" s="7"/>
      <c r="B92" s="42"/>
      <c r="C92" s="9" t="s">
        <v>391</v>
      </c>
      <c r="D92" s="7"/>
      <c r="E92" s="7"/>
      <c r="F92" s="42"/>
      <c r="G92" s="7"/>
    </row>
    <row r="93" hidden="1">
      <c r="A93" s="7"/>
      <c r="B93" s="42"/>
      <c r="C93" s="9" t="s">
        <v>392</v>
      </c>
      <c r="D93" s="7"/>
      <c r="E93" s="7"/>
      <c r="F93" s="42"/>
      <c r="G93" s="7"/>
    </row>
    <row r="94" hidden="1">
      <c r="A94" s="7"/>
      <c r="B94" s="42"/>
      <c r="C94" s="9" t="s">
        <v>393</v>
      </c>
      <c r="D94" s="7"/>
      <c r="E94" s="7"/>
      <c r="F94" s="42"/>
      <c r="G94" s="7"/>
    </row>
    <row r="95" hidden="1">
      <c r="A95" s="7"/>
      <c r="B95" s="42"/>
      <c r="C95" s="9" t="s">
        <v>394</v>
      </c>
      <c r="D95" s="7"/>
      <c r="E95" s="7"/>
      <c r="F95" s="42"/>
      <c r="G95" s="7"/>
    </row>
    <row r="96" hidden="1">
      <c r="A96" s="7"/>
      <c r="B96" s="42"/>
      <c r="C96" s="9"/>
      <c r="D96" s="7"/>
      <c r="E96" s="7"/>
      <c r="F96" s="42"/>
      <c r="G96" s="7"/>
    </row>
    <row r="97" hidden="1">
      <c r="A97" s="7"/>
      <c r="B97" s="42"/>
      <c r="C97" s="9" t="s">
        <v>395</v>
      </c>
      <c r="D97" s="7"/>
      <c r="E97" s="7"/>
      <c r="F97" s="42"/>
      <c r="G97" s="7"/>
    </row>
    <row r="98" hidden="1">
      <c r="A98" s="7"/>
      <c r="B98" s="42"/>
      <c r="C98" s="9"/>
      <c r="D98" s="7"/>
      <c r="E98" s="7"/>
      <c r="F98" s="42"/>
      <c r="G98" s="7"/>
    </row>
    <row r="99" hidden="1">
      <c r="A99" s="7"/>
      <c r="B99" s="42"/>
      <c r="C99" s="9" t="s">
        <v>396</v>
      </c>
      <c r="D99" s="7"/>
      <c r="E99" s="7"/>
      <c r="F99" s="42"/>
      <c r="G99" s="7"/>
    </row>
    <row r="100" hidden="1">
      <c r="A100" s="7"/>
      <c r="B100" s="42"/>
      <c r="C100" s="9" t="s">
        <v>397</v>
      </c>
      <c r="D100" s="7"/>
      <c r="E100" s="7"/>
      <c r="F100" s="42"/>
      <c r="G100" s="7"/>
    </row>
    <row r="101" hidden="1">
      <c r="A101" s="7"/>
      <c r="B101" s="42"/>
      <c r="C101" s="9" t="s">
        <v>398</v>
      </c>
      <c r="D101" s="7"/>
      <c r="E101" s="7"/>
      <c r="F101" s="42"/>
      <c r="G101" s="7"/>
    </row>
    <row r="102" hidden="1">
      <c r="A102" s="7"/>
      <c r="B102" s="42"/>
      <c r="C102" s="9" t="s">
        <v>399</v>
      </c>
      <c r="D102" s="7"/>
      <c r="E102" s="7"/>
      <c r="F102" s="42"/>
      <c r="G102" s="7"/>
    </row>
    <row r="103" hidden="1">
      <c r="A103" s="7"/>
      <c r="B103" s="42"/>
      <c r="C103" s="9" t="s">
        <v>400</v>
      </c>
      <c r="D103" s="7"/>
      <c r="E103" s="7"/>
      <c r="F103" s="42"/>
      <c r="G103" s="7"/>
    </row>
    <row r="104" hidden="1">
      <c r="A104" s="7"/>
      <c r="B104" s="42"/>
      <c r="C104" s="9" t="s">
        <v>401</v>
      </c>
      <c r="D104" s="7"/>
      <c r="E104" s="7"/>
      <c r="F104" s="42"/>
      <c r="G104" s="7"/>
    </row>
    <row r="105" hidden="1">
      <c r="A105" s="7"/>
      <c r="B105" s="42"/>
      <c r="C105" s="9" t="s">
        <v>402</v>
      </c>
      <c r="D105" s="7"/>
      <c r="E105" s="7"/>
      <c r="F105" s="42"/>
      <c r="G105" s="7"/>
    </row>
    <row r="106" hidden="1">
      <c r="A106" s="7"/>
      <c r="B106" s="42"/>
      <c r="C106" s="9" t="s">
        <v>403</v>
      </c>
      <c r="D106" s="7"/>
      <c r="E106" s="7"/>
      <c r="F106" s="42"/>
      <c r="G106" s="7"/>
    </row>
    <row r="107">
      <c r="A107" s="7"/>
      <c r="B107" s="42"/>
      <c r="C107" s="9"/>
      <c r="D107" s="7"/>
      <c r="E107" s="7"/>
      <c r="F107" s="42"/>
      <c r="G107" s="7"/>
    </row>
    <row r="108">
      <c r="A108" s="7"/>
      <c r="B108" s="42"/>
      <c r="C108" s="9"/>
      <c r="D108" s="7"/>
      <c r="E108" s="7"/>
      <c r="F108" s="42"/>
      <c r="G108" s="7"/>
    </row>
    <row r="109">
      <c r="A109" s="7"/>
      <c r="B109" s="42"/>
      <c r="C109" s="9"/>
      <c r="D109" s="7"/>
      <c r="E109" s="7"/>
      <c r="F109" s="42"/>
      <c r="G109" s="7"/>
    </row>
    <row r="110">
      <c r="A110" s="7"/>
      <c r="B110" s="42"/>
      <c r="C110" s="9" t="s">
        <v>404</v>
      </c>
      <c r="D110" s="7"/>
      <c r="E110" s="7"/>
      <c r="F110" s="42"/>
      <c r="G110" s="7"/>
    </row>
    <row r="111">
      <c r="A111" s="7"/>
      <c r="B111" s="42"/>
      <c r="C111" s="9" t="s">
        <v>405</v>
      </c>
      <c r="D111" s="7"/>
      <c r="E111" s="7"/>
      <c r="F111" s="42"/>
      <c r="G111" s="7"/>
    </row>
    <row r="112">
      <c r="A112" s="7"/>
      <c r="B112" s="42"/>
      <c r="C112" s="9" t="s">
        <v>406</v>
      </c>
      <c r="D112" s="7"/>
      <c r="E112" s="7"/>
      <c r="F112" s="7"/>
      <c r="G112" s="7"/>
    </row>
    <row r="113">
      <c r="A113" s="7"/>
      <c r="B113" s="42"/>
      <c r="C113" s="9"/>
      <c r="D113" s="7"/>
      <c r="E113" s="7"/>
      <c r="F113" s="7"/>
      <c r="G113" s="7"/>
    </row>
    <row r="114">
      <c r="A114" s="7"/>
      <c r="B114" s="42"/>
      <c r="C114" s="9"/>
      <c r="D114" s="7"/>
      <c r="E114" s="7"/>
      <c r="F114" s="7"/>
      <c r="G114" s="7"/>
    </row>
    <row r="115">
      <c r="A115" s="7"/>
      <c r="B115" s="42"/>
      <c r="C115" s="9"/>
      <c r="D115" s="7"/>
      <c r="E115" s="7"/>
      <c r="F115" s="7"/>
      <c r="G115" s="7"/>
    </row>
    <row r="116">
      <c r="A116" s="7"/>
      <c r="B116" s="42"/>
      <c r="C116" s="9"/>
      <c r="D116" s="7"/>
      <c r="E116" s="7"/>
      <c r="F116" s="7"/>
      <c r="G116" s="7"/>
    </row>
    <row r="117">
      <c r="A117" s="7"/>
      <c r="B117" s="42"/>
      <c r="C117" s="9"/>
      <c r="D117" s="7"/>
      <c r="E117" s="7"/>
      <c r="F117" s="7"/>
      <c r="G117" s="7"/>
    </row>
    <row r="118">
      <c r="A118" s="7"/>
      <c r="B118" s="42"/>
      <c r="C118" s="9"/>
      <c r="D118" s="7"/>
      <c r="E118" s="7"/>
      <c r="F118" s="7"/>
      <c r="G118" s="7"/>
    </row>
    <row r="119">
      <c r="A119" s="7"/>
      <c r="B119" s="42"/>
      <c r="C119" s="9"/>
      <c r="D119" s="7"/>
      <c r="E119" s="7"/>
      <c r="F119" s="7"/>
      <c r="G119" s="7"/>
    </row>
    <row r="120">
      <c r="A120" s="7"/>
      <c r="B120" s="42"/>
      <c r="C120" s="9"/>
      <c r="D120" s="7"/>
      <c r="E120" s="7"/>
      <c r="F120" s="7"/>
      <c r="G120" s="7"/>
    </row>
    <row r="121">
      <c r="A121" s="7"/>
      <c r="B121" s="42"/>
      <c r="C121" s="9"/>
      <c r="D121" s="7"/>
      <c r="E121" s="7"/>
      <c r="F121" s="7"/>
      <c r="G121" s="7"/>
    </row>
    <row r="122">
      <c r="A122" s="7"/>
      <c r="B122" s="42"/>
      <c r="C122" s="9"/>
      <c r="D122" s="7"/>
      <c r="E122" s="7"/>
      <c r="F122" s="7"/>
      <c r="G122" s="7"/>
    </row>
    <row r="123">
      <c r="A123" s="7"/>
      <c r="B123" s="42"/>
      <c r="C123" s="9" t="s">
        <v>407</v>
      </c>
      <c r="D123" s="7"/>
      <c r="E123" s="7"/>
      <c r="F123" s="7"/>
      <c r="G123" s="7"/>
    </row>
    <row r="124">
      <c r="A124" s="7"/>
      <c r="B124" s="42"/>
      <c r="C124" s="9" t="s">
        <v>408</v>
      </c>
      <c r="D124" s="7"/>
      <c r="E124" s="7"/>
      <c r="F124" s="7"/>
      <c r="G124" s="7"/>
    </row>
    <row r="125">
      <c r="A125" s="7"/>
      <c r="B125" s="42"/>
      <c r="C125" s="9"/>
      <c r="D125" s="7"/>
      <c r="E125" s="7"/>
      <c r="F125" s="7"/>
      <c r="G125" s="7"/>
    </row>
    <row r="126">
      <c r="A126" s="7"/>
      <c r="B126" s="42"/>
      <c r="C126" s="9" t="s">
        <v>409</v>
      </c>
      <c r="D126" s="7"/>
      <c r="E126" s="7"/>
      <c r="F126" s="7"/>
      <c r="G126" s="7"/>
    </row>
    <row r="127">
      <c r="A127" s="7"/>
      <c r="B127" s="42"/>
      <c r="C127" s="9"/>
      <c r="D127" s="7"/>
      <c r="E127" s="7"/>
      <c r="F127" s="7"/>
      <c r="G127" s="7"/>
    </row>
    <row r="128">
      <c r="A128" s="7"/>
      <c r="B128" s="42"/>
      <c r="C128" s="9" t="s">
        <v>410</v>
      </c>
      <c r="D128" s="7"/>
      <c r="E128" s="7"/>
      <c r="F128" s="7"/>
      <c r="G128" s="7"/>
    </row>
    <row r="129">
      <c r="A129" s="7"/>
      <c r="B129" s="42"/>
      <c r="C129" s="9" t="s">
        <v>411</v>
      </c>
      <c r="D129" s="7"/>
      <c r="E129" s="7"/>
      <c r="F129" s="7"/>
      <c r="G129" s="7"/>
    </row>
    <row r="130">
      <c r="A130" s="7"/>
      <c r="B130" s="42"/>
      <c r="C130" s="9" t="s">
        <v>412</v>
      </c>
      <c r="D130" s="7"/>
      <c r="E130" s="7"/>
      <c r="F130" s="7"/>
      <c r="G130" s="7"/>
    </row>
    <row r="131">
      <c r="A131" s="7"/>
      <c r="B131" s="42"/>
      <c r="C131" s="9" t="s">
        <v>413</v>
      </c>
      <c r="D131" s="7"/>
      <c r="E131" s="7"/>
      <c r="F131" s="7"/>
      <c r="G131" s="7"/>
    </row>
    <row r="132">
      <c r="A132" s="7"/>
      <c r="B132" s="42"/>
      <c r="C132" s="9" t="s">
        <v>414</v>
      </c>
      <c r="D132" s="7"/>
      <c r="E132" s="7"/>
      <c r="F132" s="7"/>
      <c r="G132" s="7"/>
    </row>
    <row r="133">
      <c r="A133" s="7"/>
      <c r="B133" s="42"/>
      <c r="C133" s="9" t="s">
        <v>415</v>
      </c>
      <c r="D133" s="7"/>
      <c r="E133" s="7"/>
      <c r="F133" s="7"/>
      <c r="G133" s="7"/>
    </row>
    <row r="134">
      <c r="A134" s="7"/>
      <c r="B134" s="42"/>
      <c r="C134" s="9" t="s">
        <v>416</v>
      </c>
      <c r="D134" s="7"/>
      <c r="E134" s="7"/>
      <c r="F134" s="7"/>
      <c r="G134" s="7"/>
    </row>
    <row r="135">
      <c r="A135" s="7"/>
      <c r="B135" s="42"/>
      <c r="C135" s="9"/>
      <c r="D135" s="7"/>
      <c r="E135" s="7"/>
      <c r="F135" s="7"/>
      <c r="G135" s="7"/>
    </row>
    <row r="136">
      <c r="A136" s="7"/>
      <c r="B136" s="42"/>
      <c r="C136" s="9"/>
      <c r="D136" s="7"/>
      <c r="E136" s="7"/>
      <c r="F136" s="7"/>
      <c r="G136" s="7"/>
    </row>
    <row r="137">
      <c r="A137" s="7"/>
      <c r="B137" s="42"/>
      <c r="C137" s="9" t="s">
        <v>417</v>
      </c>
      <c r="D137" s="7"/>
      <c r="E137" s="7"/>
      <c r="F137" s="7"/>
      <c r="G137" s="7"/>
    </row>
    <row r="138">
      <c r="A138" s="7"/>
      <c r="B138" s="42"/>
      <c r="C138" s="9" t="s">
        <v>418</v>
      </c>
      <c r="D138" s="7"/>
      <c r="E138" s="7"/>
      <c r="F138" s="7"/>
      <c r="G138" s="7"/>
    </row>
    <row r="139">
      <c r="A139" s="7"/>
      <c r="B139" s="42"/>
      <c r="C139" s="9"/>
      <c r="D139" s="7"/>
      <c r="E139" s="7"/>
      <c r="F139" s="7"/>
      <c r="G139" s="7"/>
    </row>
    <row r="140">
      <c r="A140" s="7"/>
      <c r="B140" s="42"/>
      <c r="C140" s="9" t="s">
        <v>409</v>
      </c>
      <c r="D140" s="7"/>
      <c r="E140" s="7"/>
      <c r="F140" s="7"/>
      <c r="G140" s="7"/>
    </row>
    <row r="141">
      <c r="A141" s="7"/>
      <c r="B141" s="42"/>
      <c r="C141" s="9"/>
      <c r="D141" s="7"/>
      <c r="E141" s="7"/>
      <c r="F141" s="7"/>
      <c r="G141" s="7"/>
    </row>
    <row r="142">
      <c r="A142" s="7"/>
      <c r="B142" s="42"/>
      <c r="C142" s="9" t="s">
        <v>419</v>
      </c>
      <c r="D142" s="7"/>
      <c r="E142" s="7"/>
      <c r="F142" s="7"/>
      <c r="G142" s="7"/>
    </row>
    <row r="143">
      <c r="A143" s="7"/>
      <c r="B143" s="42"/>
      <c r="C143" s="9" t="s">
        <v>420</v>
      </c>
      <c r="D143" s="7"/>
      <c r="E143" s="7"/>
      <c r="F143" s="7"/>
      <c r="G143" s="7"/>
    </row>
    <row r="144">
      <c r="A144" s="7"/>
      <c r="B144" s="42"/>
      <c r="C144" s="9" t="s">
        <v>421</v>
      </c>
      <c r="D144" s="7"/>
      <c r="E144" s="7"/>
      <c r="F144" s="7"/>
      <c r="G144" s="7"/>
    </row>
    <row r="145">
      <c r="A145" s="7"/>
      <c r="B145" s="42"/>
      <c r="C145" s="9" t="s">
        <v>422</v>
      </c>
      <c r="D145" s="7"/>
      <c r="E145" s="7"/>
      <c r="F145" s="7"/>
      <c r="G145" s="7"/>
    </row>
    <row r="146">
      <c r="A146" s="7"/>
      <c r="B146" s="42"/>
      <c r="C146" s="9" t="s">
        <v>423</v>
      </c>
      <c r="D146" s="7"/>
      <c r="E146" s="7"/>
      <c r="F146" s="7"/>
      <c r="G146" s="7"/>
    </row>
    <row r="147">
      <c r="A147" s="7"/>
      <c r="B147" s="42"/>
      <c r="C147" s="9" t="s">
        <v>424</v>
      </c>
      <c r="D147" s="7"/>
      <c r="E147" s="7"/>
      <c r="F147" s="7"/>
      <c r="G147" s="7"/>
    </row>
    <row r="148">
      <c r="A148" s="7"/>
      <c r="B148" s="42"/>
      <c r="C148" s="9"/>
      <c r="D148" s="7"/>
      <c r="E148" s="7"/>
      <c r="F148" s="7"/>
      <c r="G148" s="7"/>
    </row>
    <row r="149">
      <c r="A149" s="7"/>
      <c r="B149" s="42"/>
      <c r="C149" s="9"/>
      <c r="D149" s="7"/>
      <c r="E149" s="7"/>
      <c r="F149" s="7"/>
      <c r="G149" s="7"/>
    </row>
    <row r="150">
      <c r="A150" s="7"/>
      <c r="B150" s="42"/>
      <c r="C150" s="9"/>
      <c r="D150" s="7"/>
      <c r="E150" s="7"/>
      <c r="F150" s="7"/>
      <c r="G150" s="7"/>
    </row>
    <row r="151">
      <c r="A151" s="7"/>
      <c r="B151" s="42"/>
      <c r="C151" s="9" t="s">
        <v>425</v>
      </c>
      <c r="D151" s="7"/>
      <c r="E151" s="7"/>
      <c r="F151" s="7"/>
      <c r="G151" s="7"/>
    </row>
    <row r="152">
      <c r="A152" s="7"/>
      <c r="B152" s="42"/>
      <c r="C152" s="9" t="s">
        <v>426</v>
      </c>
      <c r="D152" s="7"/>
      <c r="E152" s="7"/>
      <c r="F152" s="7"/>
      <c r="G152" s="7"/>
    </row>
    <row r="153">
      <c r="A153" s="7"/>
      <c r="B153" s="42"/>
      <c r="C153" s="9"/>
      <c r="D153" s="7"/>
      <c r="E153" s="7"/>
      <c r="F153" s="7"/>
      <c r="G153" s="7"/>
    </row>
    <row r="154">
      <c r="A154" s="7"/>
      <c r="B154" s="42"/>
      <c r="C154" s="9" t="s">
        <v>409</v>
      </c>
      <c r="D154" s="7"/>
      <c r="E154" s="7"/>
      <c r="F154" s="7"/>
      <c r="G154" s="7"/>
    </row>
    <row r="155">
      <c r="A155" s="7"/>
      <c r="B155" s="42"/>
      <c r="C155" s="9"/>
      <c r="D155" s="7"/>
      <c r="E155" s="7"/>
      <c r="F155" s="7"/>
      <c r="G155" s="7"/>
    </row>
    <row r="156">
      <c r="A156" s="7"/>
      <c r="B156" s="42"/>
      <c r="C156" s="9" t="s">
        <v>427</v>
      </c>
      <c r="D156" s="7"/>
      <c r="E156" s="7"/>
      <c r="F156" s="7"/>
      <c r="G156" s="7"/>
    </row>
    <row r="157">
      <c r="A157" s="7"/>
      <c r="B157" s="42"/>
      <c r="C157" s="9" t="s">
        <v>428</v>
      </c>
      <c r="D157" s="7"/>
      <c r="E157" s="7"/>
      <c r="F157" s="7"/>
      <c r="G157" s="7"/>
    </row>
    <row r="158">
      <c r="A158" s="7"/>
      <c r="B158" s="42"/>
      <c r="C158" s="9" t="s">
        <v>429</v>
      </c>
      <c r="D158" s="7"/>
      <c r="E158" s="7"/>
      <c r="F158" s="7"/>
      <c r="G158" s="7"/>
    </row>
    <row r="159">
      <c r="A159" s="7"/>
      <c r="B159" s="42"/>
      <c r="C159" s="9" t="s">
        <v>430</v>
      </c>
      <c r="D159" s="7"/>
      <c r="E159" s="7"/>
      <c r="F159" s="7"/>
      <c r="G159" s="7"/>
    </row>
    <row r="160">
      <c r="A160" s="7"/>
      <c r="B160" s="42"/>
      <c r="C160" s="9" t="s">
        <v>431</v>
      </c>
      <c r="D160" s="7"/>
      <c r="E160" s="7"/>
      <c r="F160" s="7"/>
      <c r="G160" s="7"/>
    </row>
    <row r="161">
      <c r="A161" s="7"/>
      <c r="B161" s="42"/>
      <c r="C161" s="9" t="s">
        <v>432</v>
      </c>
      <c r="D161" s="7"/>
      <c r="E161" s="7"/>
      <c r="F161" s="7"/>
      <c r="G161" s="7"/>
    </row>
    <row r="162">
      <c r="A162" s="7"/>
      <c r="B162" s="42"/>
      <c r="C162" s="9"/>
      <c r="D162" s="7"/>
      <c r="E162" s="7"/>
      <c r="F162" s="7"/>
      <c r="G162" s="7"/>
    </row>
    <row r="163">
      <c r="A163" s="7"/>
      <c r="B163" s="42"/>
      <c r="C163" s="9"/>
      <c r="D163" s="7"/>
      <c r="E163" s="7"/>
      <c r="F163" s="7"/>
      <c r="G163" s="7"/>
    </row>
    <row r="164">
      <c r="A164" s="7"/>
      <c r="B164" s="42"/>
      <c r="C164" s="9" t="s">
        <v>433</v>
      </c>
      <c r="D164" s="7"/>
      <c r="E164" s="7"/>
      <c r="F164" s="7"/>
      <c r="G164" s="7"/>
    </row>
    <row r="165">
      <c r="A165" s="7"/>
      <c r="B165" s="42"/>
      <c r="C165" s="9"/>
      <c r="D165" s="7"/>
      <c r="E165" s="7"/>
      <c r="F165" s="7"/>
      <c r="G165" s="7"/>
    </row>
    <row r="166">
      <c r="A166" s="7"/>
      <c r="B166" s="42"/>
      <c r="C166" s="9" t="s">
        <v>434</v>
      </c>
      <c r="D166" s="7"/>
      <c r="E166" s="7"/>
      <c r="F166" s="7"/>
      <c r="G166" s="7"/>
    </row>
    <row r="167">
      <c r="A167" s="7"/>
      <c r="B167" s="42"/>
      <c r="C167" s="9" t="s">
        <v>435</v>
      </c>
      <c r="D167" s="7"/>
      <c r="E167" s="7"/>
      <c r="F167" s="7"/>
      <c r="G167" s="7"/>
    </row>
    <row r="168">
      <c r="A168" s="7"/>
      <c r="B168" s="42"/>
      <c r="C168" s="9" t="s">
        <v>436</v>
      </c>
      <c r="D168" s="7"/>
      <c r="E168" s="7"/>
      <c r="F168" s="7"/>
      <c r="G168" s="7"/>
    </row>
    <row r="169">
      <c r="A169" s="7"/>
      <c r="B169" s="42"/>
      <c r="C169" s="9" t="s">
        <v>437</v>
      </c>
      <c r="D169" s="7"/>
      <c r="E169" s="7"/>
      <c r="F169" s="7"/>
      <c r="G169" s="7"/>
    </row>
    <row r="170">
      <c r="A170" s="7"/>
      <c r="B170" s="42"/>
      <c r="C170" s="9" t="s">
        <v>438</v>
      </c>
      <c r="D170" s="7"/>
      <c r="E170" s="7"/>
      <c r="F170" s="7"/>
      <c r="G170" s="7"/>
    </row>
    <row r="171">
      <c r="A171" s="7"/>
      <c r="B171" s="42"/>
      <c r="C171" s="9" t="s">
        <v>439</v>
      </c>
      <c r="D171" s="7"/>
      <c r="E171" s="7"/>
      <c r="F171" s="7"/>
      <c r="G171" s="7"/>
    </row>
    <row r="172">
      <c r="A172" s="7"/>
      <c r="B172" s="42"/>
      <c r="C172" s="9"/>
      <c r="D172" s="7"/>
      <c r="E172" s="7"/>
      <c r="F172" s="7"/>
      <c r="G172" s="7"/>
    </row>
    <row r="173">
      <c r="A173" s="7"/>
      <c r="B173" s="42"/>
      <c r="C173" s="9"/>
      <c r="D173" s="7"/>
      <c r="E173" s="7"/>
      <c r="F173" s="7"/>
      <c r="G173" s="7"/>
    </row>
    <row r="174">
      <c r="A174" s="7"/>
      <c r="B174" s="42"/>
      <c r="C174" s="9"/>
      <c r="D174" s="7"/>
      <c r="E174" s="7"/>
      <c r="F174" s="7"/>
      <c r="G174" s="7"/>
    </row>
    <row r="175">
      <c r="A175" s="7"/>
      <c r="B175" s="42"/>
      <c r="C175" s="9"/>
      <c r="D175" s="7"/>
      <c r="E175" s="7"/>
      <c r="F175" s="7"/>
      <c r="G175" s="7"/>
    </row>
    <row r="176">
      <c r="A176" s="7"/>
      <c r="B176" s="42"/>
      <c r="C176" s="9"/>
      <c r="D176" s="7"/>
      <c r="E176" s="7"/>
      <c r="F176" s="7"/>
      <c r="G176" s="7"/>
    </row>
    <row r="177">
      <c r="A177" s="7"/>
      <c r="B177" s="42"/>
      <c r="C177" s="9"/>
      <c r="D177" s="7"/>
      <c r="E177" s="7"/>
      <c r="F177" s="7"/>
      <c r="G177" s="7"/>
    </row>
    <row r="178">
      <c r="A178" s="7"/>
      <c r="B178" s="42"/>
      <c r="C178" s="9"/>
      <c r="D178" s="7"/>
      <c r="E178" s="7"/>
      <c r="F178" s="7"/>
      <c r="G178" s="7"/>
    </row>
    <row r="179">
      <c r="A179" s="7"/>
      <c r="B179" s="42"/>
      <c r="C179" s="9"/>
      <c r="D179" s="7"/>
      <c r="E179" s="7"/>
      <c r="F179" s="7"/>
      <c r="G179" s="7"/>
    </row>
    <row r="180">
      <c r="A180" s="7"/>
      <c r="B180" s="42"/>
      <c r="C180" s="9"/>
      <c r="D180" s="7"/>
      <c r="E180" s="7"/>
      <c r="F180" s="7"/>
      <c r="G180" s="7"/>
    </row>
    <row r="181">
      <c r="A181" s="7"/>
      <c r="B181" s="42"/>
      <c r="C181" s="9"/>
      <c r="D181" s="7"/>
      <c r="E181" s="7"/>
      <c r="F181" s="7"/>
      <c r="G181" s="7"/>
    </row>
    <row r="182">
      <c r="A182" s="7"/>
      <c r="B182" s="42"/>
      <c r="C182" s="9"/>
      <c r="D182" s="7"/>
      <c r="E182" s="7"/>
      <c r="F182" s="7"/>
      <c r="G182" s="7"/>
    </row>
    <row r="183">
      <c r="A183" s="7"/>
      <c r="B183" s="42"/>
      <c r="C183" s="9"/>
      <c r="D183" s="7"/>
      <c r="E183" s="7"/>
      <c r="F183" s="7"/>
      <c r="G183" s="7"/>
    </row>
    <row r="184">
      <c r="A184" s="7"/>
      <c r="B184" s="42"/>
      <c r="C184" s="9"/>
      <c r="D184" s="7"/>
      <c r="E184" s="7"/>
      <c r="F184" s="7"/>
      <c r="G184" s="7"/>
    </row>
    <row r="185">
      <c r="A185" s="7"/>
      <c r="B185" s="42"/>
      <c r="C185" s="9"/>
      <c r="D185" s="7"/>
      <c r="E185" s="7"/>
      <c r="F185" s="7"/>
      <c r="G185" s="7"/>
    </row>
    <row r="186">
      <c r="A186" s="7"/>
      <c r="B186" s="42"/>
      <c r="C186" s="9"/>
      <c r="D186" s="7"/>
      <c r="E186" s="7"/>
      <c r="F186" s="7"/>
      <c r="G186" s="7"/>
    </row>
    <row r="187">
      <c r="A187" s="7"/>
      <c r="B187" s="42"/>
      <c r="C187" s="9"/>
      <c r="D187" s="7"/>
      <c r="E187" s="7"/>
      <c r="F187" s="7"/>
      <c r="G187" s="7"/>
    </row>
    <row r="188">
      <c r="A188" s="7"/>
      <c r="B188" s="42"/>
      <c r="C188" s="9"/>
      <c r="D188" s="7"/>
      <c r="E188" s="7"/>
      <c r="F188" s="7"/>
      <c r="G188" s="7"/>
    </row>
    <row r="189">
      <c r="A189" s="7"/>
      <c r="B189" s="42"/>
      <c r="C189" s="9"/>
      <c r="D189" s="7"/>
      <c r="E189" s="7"/>
      <c r="F189" s="7"/>
      <c r="G189" s="7"/>
    </row>
    <row r="190">
      <c r="A190" s="7"/>
      <c r="B190" s="42"/>
      <c r="C190" s="9"/>
      <c r="D190" s="7"/>
      <c r="E190" s="7"/>
      <c r="F190" s="7"/>
      <c r="G190" s="7"/>
    </row>
    <row r="191">
      <c r="A191" s="7"/>
      <c r="B191" s="42"/>
      <c r="C191" s="9"/>
      <c r="D191" s="7"/>
      <c r="E191" s="7"/>
      <c r="F191" s="7"/>
      <c r="G191" s="7"/>
    </row>
    <row r="192">
      <c r="A192" s="7"/>
      <c r="B192" s="42"/>
      <c r="C192" s="9"/>
      <c r="D192" s="7"/>
      <c r="E192" s="7"/>
      <c r="F192" s="7"/>
      <c r="G192" s="7"/>
    </row>
    <row r="193">
      <c r="A193" s="7"/>
      <c r="B193" s="42"/>
      <c r="C193" s="9"/>
      <c r="D193" s="7"/>
      <c r="E193" s="7"/>
      <c r="F193" s="7"/>
      <c r="G193" s="7"/>
    </row>
    <row r="194">
      <c r="A194" s="7"/>
      <c r="B194" s="42"/>
      <c r="C194" s="9"/>
      <c r="D194" s="7"/>
      <c r="E194" s="7"/>
      <c r="F194" s="7"/>
      <c r="G194" s="7"/>
    </row>
    <row r="195">
      <c r="A195" s="7"/>
      <c r="B195" s="42"/>
      <c r="C195" s="9"/>
      <c r="D195" s="7"/>
      <c r="E195" s="7"/>
      <c r="F195" s="7"/>
      <c r="G195" s="7"/>
    </row>
    <row r="196">
      <c r="A196" s="7"/>
      <c r="B196" s="42"/>
      <c r="C196" s="9"/>
      <c r="D196" s="7"/>
      <c r="E196" s="7"/>
      <c r="F196" s="7"/>
      <c r="G196" s="7"/>
    </row>
    <row r="197">
      <c r="A197" s="7"/>
      <c r="B197" s="42"/>
      <c r="C197" s="9"/>
      <c r="D197" s="7"/>
      <c r="E197" s="7"/>
      <c r="F197" s="7"/>
      <c r="G197" s="7"/>
    </row>
    <row r="198">
      <c r="A198" s="7"/>
      <c r="B198" s="42"/>
      <c r="C198" s="9"/>
      <c r="D198" s="7"/>
      <c r="E198" s="7"/>
      <c r="F198" s="7"/>
      <c r="G198" s="7"/>
    </row>
    <row r="199">
      <c r="A199" s="7"/>
      <c r="B199" s="42"/>
      <c r="C199" s="9"/>
      <c r="D199" s="7"/>
      <c r="E199" s="7"/>
      <c r="F199" s="7"/>
      <c r="G199" s="7"/>
    </row>
    <row r="200">
      <c r="A200" s="7"/>
      <c r="B200" s="42"/>
      <c r="C200" s="9"/>
      <c r="D200" s="7"/>
      <c r="E200" s="7"/>
      <c r="F200" s="7"/>
      <c r="G200" s="7"/>
    </row>
    <row r="201">
      <c r="A201" s="7"/>
      <c r="B201" s="42"/>
      <c r="C201" s="9"/>
      <c r="D201" s="7"/>
      <c r="E201" s="7"/>
      <c r="F201" s="7"/>
      <c r="G201" s="7"/>
    </row>
    <row r="202">
      <c r="A202" s="7"/>
      <c r="B202" s="42"/>
      <c r="C202" s="9"/>
      <c r="D202" s="7"/>
      <c r="E202" s="7"/>
      <c r="F202" s="7"/>
      <c r="G202" s="7"/>
    </row>
    <row r="203">
      <c r="A203" s="7"/>
      <c r="B203" s="42"/>
      <c r="C203" s="9"/>
      <c r="D203" s="7"/>
      <c r="E203" s="7"/>
      <c r="F203" s="7"/>
      <c r="G203" s="7"/>
    </row>
    <row r="204">
      <c r="A204" s="7"/>
      <c r="B204" s="42"/>
      <c r="C204" s="9"/>
      <c r="D204" s="7"/>
      <c r="E204" s="7"/>
      <c r="F204" s="7"/>
      <c r="G204" s="7"/>
    </row>
    <row r="205">
      <c r="A205" s="7"/>
      <c r="B205" s="42"/>
      <c r="C205" s="9"/>
      <c r="D205" s="7"/>
      <c r="E205" s="7"/>
      <c r="F205" s="7"/>
      <c r="G205" s="7"/>
    </row>
    <row r="206">
      <c r="A206" s="7"/>
      <c r="B206" s="42"/>
      <c r="C206" s="9"/>
      <c r="D206" s="7"/>
      <c r="E206" s="7"/>
      <c r="F206" s="7"/>
      <c r="G206" s="7"/>
    </row>
    <row r="207">
      <c r="A207" s="7"/>
      <c r="B207" s="42"/>
      <c r="C207" s="9"/>
      <c r="D207" s="7"/>
      <c r="E207" s="7"/>
      <c r="F207" s="7"/>
      <c r="G207" s="7"/>
    </row>
    <row r="208">
      <c r="A208" s="7"/>
      <c r="B208" s="42"/>
      <c r="C208" s="9"/>
      <c r="D208" s="7"/>
      <c r="E208" s="7"/>
      <c r="F208" s="7"/>
      <c r="G208" s="7"/>
    </row>
    <row r="209">
      <c r="A209" s="7"/>
      <c r="B209" s="42"/>
      <c r="C209" s="9"/>
      <c r="D209" s="7"/>
      <c r="E209" s="7"/>
      <c r="F209" s="7"/>
      <c r="G209" s="7"/>
    </row>
    <row r="210">
      <c r="A210" s="7"/>
      <c r="B210" s="42"/>
      <c r="C210" s="9"/>
      <c r="D210" s="7"/>
      <c r="E210" s="7"/>
      <c r="F210" s="7"/>
      <c r="G210" s="7"/>
    </row>
    <row r="211">
      <c r="A211" s="7"/>
      <c r="B211" s="42"/>
      <c r="C211" s="9"/>
      <c r="D211" s="7"/>
      <c r="E211" s="7"/>
      <c r="F211" s="7"/>
      <c r="G211" s="7"/>
    </row>
    <row r="212">
      <c r="A212" s="7"/>
      <c r="B212" s="42"/>
      <c r="C212" s="9"/>
      <c r="D212" s="7"/>
      <c r="E212" s="7"/>
      <c r="F212" s="7"/>
      <c r="G212" s="7"/>
    </row>
    <row r="213">
      <c r="A213" s="7"/>
      <c r="B213" s="42"/>
      <c r="C213" s="9"/>
      <c r="D213" s="7"/>
      <c r="E213" s="7"/>
      <c r="F213" s="7"/>
      <c r="G213" s="7"/>
    </row>
    <row r="214">
      <c r="A214" s="7"/>
      <c r="B214" s="42"/>
      <c r="C214" s="9"/>
      <c r="D214" s="7"/>
      <c r="E214" s="7"/>
      <c r="F214" s="7"/>
      <c r="G214" s="7"/>
    </row>
    <row r="215">
      <c r="A215" s="7"/>
      <c r="B215" s="42"/>
      <c r="C215" s="9"/>
      <c r="D215" s="7"/>
      <c r="E215" s="7"/>
      <c r="F215" s="7"/>
      <c r="G215" s="7"/>
    </row>
    <row r="216">
      <c r="A216" s="7"/>
      <c r="B216" s="42"/>
      <c r="C216" s="9"/>
      <c r="D216" s="7"/>
      <c r="E216" s="7"/>
      <c r="F216" s="7"/>
      <c r="G216" s="7"/>
    </row>
    <row r="217">
      <c r="A217" s="7"/>
      <c r="B217" s="42"/>
      <c r="C217" s="9"/>
      <c r="D217" s="7"/>
      <c r="E217" s="7"/>
      <c r="F217" s="7"/>
      <c r="G217" s="7"/>
    </row>
    <row r="218">
      <c r="A218" s="7"/>
      <c r="B218" s="42"/>
      <c r="C218" s="9"/>
      <c r="D218" s="7"/>
      <c r="E218" s="7"/>
      <c r="F218" s="7"/>
      <c r="G218" s="7"/>
    </row>
    <row r="219">
      <c r="A219" s="7"/>
      <c r="B219" s="42"/>
      <c r="C219" s="9"/>
      <c r="D219" s="7"/>
      <c r="E219" s="7"/>
      <c r="F219" s="7"/>
      <c r="G219" s="7"/>
    </row>
    <row r="220">
      <c r="A220" s="7"/>
      <c r="B220" s="42"/>
      <c r="C220" s="9"/>
      <c r="D220" s="7"/>
      <c r="E220" s="7"/>
      <c r="F220" s="7"/>
      <c r="G220" s="7"/>
    </row>
    <row r="221">
      <c r="A221" s="7"/>
      <c r="B221" s="42"/>
      <c r="C221" s="9"/>
      <c r="D221" s="7"/>
      <c r="E221" s="7"/>
      <c r="F221" s="7"/>
      <c r="G221" s="7"/>
    </row>
    <row r="222">
      <c r="A222" s="7"/>
      <c r="B222" s="42"/>
      <c r="C222" s="9"/>
      <c r="D222" s="7"/>
      <c r="E222" s="7"/>
      <c r="F222" s="7"/>
      <c r="G222" s="7"/>
    </row>
    <row r="223">
      <c r="A223" s="7"/>
      <c r="B223" s="42"/>
      <c r="C223" s="9"/>
      <c r="D223" s="7"/>
      <c r="E223" s="7"/>
      <c r="F223" s="7"/>
      <c r="G223" s="7"/>
    </row>
    <row r="224">
      <c r="A224" s="7"/>
      <c r="B224" s="42"/>
      <c r="C224" s="9"/>
      <c r="D224" s="7"/>
      <c r="E224" s="7"/>
      <c r="F224" s="7"/>
      <c r="G224" s="7"/>
    </row>
    <row r="225">
      <c r="A225" s="7"/>
      <c r="B225" s="42"/>
      <c r="C225" s="9"/>
      <c r="D225" s="7"/>
      <c r="E225" s="7"/>
      <c r="F225" s="7"/>
      <c r="G225" s="7"/>
    </row>
    <row r="226">
      <c r="A226" s="7"/>
      <c r="B226" s="42"/>
      <c r="C226" s="9"/>
      <c r="D226" s="7"/>
      <c r="E226" s="7"/>
      <c r="F226" s="7"/>
      <c r="G226" s="7"/>
    </row>
    <row r="227">
      <c r="A227" s="7"/>
      <c r="B227" s="42"/>
      <c r="C227" s="9"/>
      <c r="D227" s="7"/>
      <c r="E227" s="7"/>
      <c r="F227" s="7"/>
      <c r="G227" s="7"/>
    </row>
    <row r="228">
      <c r="A228" s="7"/>
      <c r="B228" s="42"/>
      <c r="C228" s="9"/>
      <c r="D228" s="7"/>
      <c r="E228" s="7"/>
      <c r="F228" s="7"/>
      <c r="G228" s="7"/>
    </row>
    <row r="229">
      <c r="A229" s="7"/>
      <c r="B229" s="42"/>
      <c r="C229" s="9"/>
      <c r="D229" s="7"/>
      <c r="E229" s="7"/>
      <c r="F229" s="7"/>
      <c r="G229" s="7"/>
    </row>
    <row r="230">
      <c r="A230" s="7"/>
      <c r="B230" s="42"/>
      <c r="C230" s="9"/>
      <c r="D230" s="7"/>
      <c r="E230" s="7"/>
      <c r="F230" s="7"/>
      <c r="G230" s="7"/>
    </row>
    <row r="231">
      <c r="A231" s="7"/>
      <c r="B231" s="42"/>
      <c r="C231" s="9"/>
      <c r="D231" s="7"/>
      <c r="E231" s="7"/>
      <c r="F231" s="7"/>
      <c r="G231" s="7"/>
    </row>
    <row r="232">
      <c r="A232" s="7"/>
      <c r="B232" s="42"/>
      <c r="C232" s="9"/>
      <c r="D232" s="7"/>
      <c r="E232" s="7"/>
      <c r="F232" s="7"/>
      <c r="G232" s="7"/>
    </row>
    <row r="233">
      <c r="A233" s="7"/>
      <c r="B233" s="42"/>
      <c r="C233" s="9"/>
      <c r="D233" s="7"/>
      <c r="E233" s="7"/>
      <c r="F233" s="7"/>
      <c r="G233" s="7"/>
    </row>
    <row r="234">
      <c r="A234" s="7"/>
      <c r="B234" s="42"/>
      <c r="C234" s="9"/>
      <c r="D234" s="7"/>
      <c r="E234" s="7"/>
      <c r="F234" s="7"/>
      <c r="G234" s="7"/>
    </row>
    <row r="235">
      <c r="A235" s="7"/>
      <c r="B235" s="42"/>
      <c r="C235" s="9"/>
      <c r="D235" s="7"/>
      <c r="E235" s="7"/>
      <c r="F235" s="7"/>
      <c r="G235" s="7"/>
    </row>
    <row r="236">
      <c r="A236" s="7"/>
      <c r="B236" s="42"/>
      <c r="C236" s="9"/>
      <c r="D236" s="7"/>
      <c r="E236" s="7"/>
      <c r="F236" s="7"/>
      <c r="G236" s="7"/>
    </row>
    <row r="237">
      <c r="A237" s="7"/>
      <c r="B237" s="42"/>
      <c r="C237" s="9"/>
      <c r="D237" s="7"/>
      <c r="E237" s="7"/>
      <c r="F237" s="7"/>
      <c r="G237" s="7"/>
    </row>
    <row r="238">
      <c r="A238" s="7"/>
      <c r="B238" s="42"/>
      <c r="C238" s="9"/>
      <c r="D238" s="7"/>
      <c r="E238" s="7"/>
      <c r="F238" s="7"/>
      <c r="G238" s="7"/>
    </row>
    <row r="239">
      <c r="A239" s="7"/>
      <c r="B239" s="42"/>
      <c r="C239" s="9"/>
      <c r="D239" s="7"/>
      <c r="E239" s="7"/>
      <c r="F239" s="7"/>
      <c r="G239" s="7"/>
    </row>
    <row r="240">
      <c r="A240" s="7"/>
      <c r="B240" s="42"/>
      <c r="C240" s="9"/>
      <c r="D240" s="7"/>
      <c r="E240" s="7"/>
      <c r="F240" s="7"/>
      <c r="G240" s="7"/>
    </row>
    <row r="241">
      <c r="A241" s="7"/>
      <c r="B241" s="42"/>
      <c r="C241" s="9"/>
      <c r="D241" s="7"/>
      <c r="E241" s="7"/>
      <c r="F241" s="7"/>
      <c r="G241" s="7"/>
    </row>
    <row r="242">
      <c r="A242" s="7"/>
      <c r="B242" s="42"/>
      <c r="C242" s="9"/>
      <c r="D242" s="7"/>
      <c r="E242" s="7"/>
      <c r="F242" s="7"/>
      <c r="G242" s="7"/>
    </row>
    <row r="243">
      <c r="A243" s="7"/>
      <c r="B243" s="42"/>
      <c r="C243" s="9"/>
      <c r="D243" s="7"/>
      <c r="E243" s="7"/>
      <c r="F243" s="7"/>
      <c r="G243" s="7"/>
    </row>
    <row r="244">
      <c r="A244" s="7"/>
      <c r="B244" s="42"/>
      <c r="C244" s="9"/>
      <c r="D244" s="7"/>
      <c r="E244" s="7"/>
      <c r="F244" s="7"/>
      <c r="G244" s="7"/>
    </row>
    <row r="245">
      <c r="A245" s="7"/>
      <c r="B245" s="42"/>
      <c r="C245" s="9"/>
      <c r="D245" s="7"/>
      <c r="E245" s="7"/>
      <c r="F245" s="7"/>
      <c r="G245" s="7"/>
    </row>
    <row r="246">
      <c r="A246" s="7"/>
      <c r="B246" s="42"/>
      <c r="C246" s="9"/>
      <c r="D246" s="7"/>
      <c r="E246" s="7"/>
      <c r="F246" s="7"/>
      <c r="G246" s="7"/>
    </row>
    <row r="247">
      <c r="A247" s="7"/>
      <c r="B247" s="42"/>
      <c r="C247" s="9"/>
      <c r="D247" s="7"/>
      <c r="E247" s="7"/>
      <c r="F247" s="7"/>
      <c r="G247" s="7"/>
    </row>
    <row r="248">
      <c r="A248" s="7"/>
      <c r="B248" s="42"/>
      <c r="C248" s="9"/>
      <c r="D248" s="7"/>
      <c r="E248" s="7"/>
      <c r="F248" s="7"/>
      <c r="G248" s="7"/>
    </row>
    <row r="249">
      <c r="A249" s="7"/>
      <c r="B249" s="42"/>
      <c r="C249" s="9"/>
      <c r="D249" s="7"/>
      <c r="E249" s="7"/>
      <c r="F249" s="7"/>
      <c r="G249" s="7"/>
    </row>
    <row r="250">
      <c r="A250" s="7"/>
      <c r="B250" s="42"/>
      <c r="C250" s="9"/>
      <c r="D250" s="7"/>
      <c r="E250" s="7"/>
      <c r="F250" s="7"/>
      <c r="G250" s="7"/>
    </row>
    <row r="251">
      <c r="A251" s="7"/>
      <c r="B251" s="42"/>
      <c r="C251" s="9"/>
      <c r="D251" s="7"/>
      <c r="E251" s="7"/>
      <c r="F251" s="7"/>
      <c r="G251" s="7"/>
    </row>
    <row r="252">
      <c r="A252" s="7"/>
      <c r="B252" s="42"/>
      <c r="C252" s="9"/>
      <c r="D252" s="7"/>
      <c r="E252" s="7"/>
      <c r="F252" s="7"/>
      <c r="G252" s="7"/>
    </row>
    <row r="253">
      <c r="A253" s="7"/>
      <c r="B253" s="42"/>
      <c r="C253" s="9"/>
      <c r="D253" s="7"/>
      <c r="E253" s="7"/>
      <c r="F253" s="7"/>
      <c r="G253" s="7"/>
    </row>
    <row r="254">
      <c r="A254" s="7"/>
      <c r="B254" s="42"/>
      <c r="C254" s="9"/>
      <c r="D254" s="7"/>
      <c r="E254" s="7"/>
      <c r="F254" s="7"/>
      <c r="G254" s="7"/>
    </row>
    <row r="255">
      <c r="A255" s="7"/>
      <c r="B255" s="42"/>
      <c r="C255" s="9"/>
      <c r="D255" s="7"/>
      <c r="E255" s="7"/>
      <c r="F255" s="7"/>
      <c r="G255" s="7"/>
    </row>
    <row r="256">
      <c r="A256" s="7"/>
      <c r="B256" s="42"/>
      <c r="C256" s="9"/>
      <c r="D256" s="7"/>
      <c r="E256" s="7"/>
      <c r="F256" s="7"/>
      <c r="G256" s="7"/>
    </row>
    <row r="257">
      <c r="A257" s="7"/>
      <c r="B257" s="42"/>
      <c r="C257" s="9"/>
      <c r="D257" s="7"/>
      <c r="E257" s="7"/>
      <c r="F257" s="7"/>
      <c r="G257" s="7"/>
    </row>
    <row r="258">
      <c r="A258" s="7"/>
      <c r="B258" s="42"/>
      <c r="C258" s="9"/>
      <c r="D258" s="7"/>
      <c r="E258" s="7"/>
      <c r="F258" s="7"/>
      <c r="G258" s="7"/>
    </row>
    <row r="259">
      <c r="A259" s="7"/>
      <c r="B259" s="42"/>
      <c r="C259" s="9"/>
      <c r="D259" s="7"/>
      <c r="E259" s="7"/>
      <c r="F259" s="7"/>
      <c r="G259" s="7"/>
    </row>
    <row r="260">
      <c r="A260" s="7"/>
      <c r="B260" s="42"/>
      <c r="C260" s="9"/>
      <c r="D260" s="7"/>
      <c r="E260" s="7"/>
      <c r="F260" s="7"/>
      <c r="G260" s="7"/>
    </row>
    <row r="261">
      <c r="A261" s="7"/>
      <c r="B261" s="42"/>
      <c r="C261" s="9"/>
      <c r="D261" s="7"/>
      <c r="E261" s="7"/>
      <c r="F261" s="7"/>
      <c r="G261" s="7"/>
    </row>
  </sheetData>
  <hyperlinks>
    <hyperlink r:id="rId1" ref="D1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100.38"/>
    <col customWidth="1" min="3" max="3" width="22.5"/>
    <col customWidth="1" min="4" max="5" width="41.13"/>
    <col customWidth="1" min="6" max="6" width="40.88"/>
    <col customWidth="1" min="7" max="7" width="22.13"/>
    <col customWidth="1" min="8" max="8" width="25.63"/>
    <col customWidth="1" min="9" max="9" width="17.13"/>
    <col customWidth="1" min="10" max="10" width="19.88"/>
    <col customWidth="1" min="11" max="11" width="4.25"/>
  </cols>
  <sheetData>
    <row r="1">
      <c r="A1" s="7"/>
      <c r="B1" s="7"/>
      <c r="C1" s="8"/>
      <c r="D1" s="7"/>
      <c r="E1" s="7"/>
      <c r="F1" s="7"/>
      <c r="G1" s="7"/>
      <c r="H1" s="61"/>
      <c r="I1" s="7"/>
      <c r="J1" s="7"/>
      <c r="K1" s="7"/>
    </row>
    <row r="2">
      <c r="A2" s="7"/>
      <c r="B2" s="7"/>
      <c r="C2" s="15" t="s">
        <v>440</v>
      </c>
      <c r="D2" s="7"/>
      <c r="E2" s="7"/>
      <c r="F2" s="7"/>
      <c r="G2" s="7"/>
      <c r="H2" s="15"/>
      <c r="I2" s="7"/>
      <c r="J2" s="7"/>
      <c r="K2" s="7"/>
    </row>
    <row r="3">
      <c r="A3" s="7"/>
      <c r="B3" s="25" t="s">
        <v>276</v>
      </c>
      <c r="C3" s="25" t="s">
        <v>441</v>
      </c>
      <c r="D3" s="25" t="s">
        <v>442</v>
      </c>
      <c r="E3" s="25" t="s">
        <v>45</v>
      </c>
      <c r="F3" s="25" t="s">
        <v>443</v>
      </c>
      <c r="G3" s="15"/>
      <c r="H3" s="62"/>
      <c r="I3" s="7"/>
      <c r="J3" s="7"/>
      <c r="K3" s="7"/>
    </row>
    <row r="4">
      <c r="A4" s="7"/>
      <c r="B4" s="9" t="s">
        <v>444</v>
      </c>
      <c r="C4" s="9" t="s">
        <v>445</v>
      </c>
      <c r="D4" s="15" t="s">
        <v>447</v>
      </c>
      <c r="E4" s="15" t="s">
        <v>110</v>
      </c>
      <c r="F4" s="15" t="s">
        <v>110</v>
      </c>
      <c r="G4" s="15"/>
      <c r="H4" s="62"/>
      <c r="I4" s="7"/>
      <c r="J4" s="7"/>
      <c r="K4" s="7"/>
    </row>
    <row r="5">
      <c r="A5" s="7"/>
      <c r="B5" s="9" t="s">
        <v>451</v>
      </c>
      <c r="C5" s="9"/>
      <c r="D5" s="15"/>
      <c r="E5" s="15"/>
      <c r="F5" s="15"/>
      <c r="G5" s="15"/>
      <c r="H5" s="62"/>
      <c r="I5" s="7"/>
      <c r="J5" s="7"/>
      <c r="K5" s="7"/>
    </row>
    <row r="6">
      <c r="A6" s="7"/>
      <c r="B6" s="9"/>
      <c r="C6" s="9"/>
      <c r="D6" s="15"/>
      <c r="E6" s="15"/>
      <c r="F6" s="15"/>
      <c r="G6" s="15"/>
      <c r="H6" s="62"/>
      <c r="I6" s="7"/>
      <c r="J6" s="7"/>
      <c r="K6" s="7"/>
    </row>
    <row r="7">
      <c r="A7" s="7"/>
      <c r="B7" s="9" t="s">
        <v>452</v>
      </c>
      <c r="C7" s="9"/>
      <c r="D7" s="15"/>
      <c r="E7" s="15"/>
      <c r="F7" s="15"/>
      <c r="G7" s="15"/>
      <c r="H7" s="63"/>
      <c r="I7" s="7"/>
      <c r="J7" s="7"/>
      <c r="K7" s="7"/>
    </row>
    <row r="8">
      <c r="A8" s="7"/>
      <c r="B8" s="64" t="s">
        <v>453</v>
      </c>
      <c r="C8" s="65" t="s">
        <v>456</v>
      </c>
      <c r="D8" s="66" t="s">
        <v>458</v>
      </c>
      <c r="E8" s="66"/>
      <c r="F8" s="67" t="s">
        <v>460</v>
      </c>
      <c r="G8" s="15"/>
      <c r="H8" s="20" t="s">
        <v>461</v>
      </c>
      <c r="I8" s="15" t="s">
        <v>462</v>
      </c>
      <c r="J8" s="7"/>
      <c r="K8" s="7"/>
    </row>
    <row r="9" ht="28.5" customHeight="1">
      <c r="A9" s="7"/>
      <c r="B9" s="68">
        <v>230000.0</v>
      </c>
      <c r="C9" s="69">
        <v>120000.0</v>
      </c>
      <c r="D9" s="70">
        <v>65000.0</v>
      </c>
      <c r="E9" s="70"/>
      <c r="F9" s="71">
        <f>B9-D9</f>
        <v>165000</v>
      </c>
      <c r="G9" s="15"/>
      <c r="H9" s="72">
        <v>12.0</v>
      </c>
      <c r="I9" s="7"/>
      <c r="J9" s="7"/>
      <c r="K9" s="7"/>
    </row>
    <row r="10">
      <c r="A10" s="7"/>
      <c r="B10" s="9"/>
      <c r="C10" s="9"/>
      <c r="D10" s="15"/>
      <c r="E10" s="15"/>
      <c r="F10" s="15"/>
      <c r="G10" s="15"/>
      <c r="H10" s="63"/>
      <c r="I10" s="7"/>
      <c r="J10" s="7"/>
      <c r="K10" s="7"/>
    </row>
    <row r="11">
      <c r="A11" s="7"/>
      <c r="B11" s="16" t="s">
        <v>469</v>
      </c>
      <c r="C11" s="9"/>
      <c r="D11" s="15"/>
      <c r="E11" s="15"/>
      <c r="F11" s="15"/>
      <c r="G11" s="15"/>
      <c r="H11" s="63"/>
      <c r="I11" s="7"/>
      <c r="J11" s="7"/>
      <c r="K11" s="7"/>
    </row>
    <row r="12">
      <c r="A12" s="7"/>
      <c r="B12" s="73"/>
      <c r="C12" s="74"/>
      <c r="D12" s="75"/>
      <c r="E12" s="75"/>
      <c r="F12" s="76"/>
      <c r="G12" s="15"/>
      <c r="H12" s="63"/>
      <c r="I12" s="7"/>
      <c r="J12" s="7"/>
      <c r="K12" s="7"/>
    </row>
    <row r="13">
      <c r="A13" s="7"/>
      <c r="B13" s="77" t="s">
        <v>470</v>
      </c>
      <c r="C13" s="78" t="s">
        <v>442</v>
      </c>
      <c r="D13" s="78" t="s">
        <v>441</v>
      </c>
      <c r="E13" s="78"/>
      <c r="F13" s="79" t="s">
        <v>97</v>
      </c>
      <c r="G13" s="15"/>
      <c r="H13" s="63"/>
      <c r="I13" s="7"/>
      <c r="J13" s="7"/>
      <c r="K13" s="7"/>
    </row>
    <row r="14">
      <c r="A14" s="7"/>
      <c r="B14" s="80"/>
      <c r="C14" s="81"/>
      <c r="D14" s="82"/>
      <c r="E14" s="82"/>
      <c r="F14" s="82"/>
      <c r="G14" s="15"/>
      <c r="H14" s="63"/>
      <c r="I14" s="7"/>
      <c r="J14" s="7"/>
      <c r="K14" s="7"/>
    </row>
    <row r="15">
      <c r="A15" s="7"/>
      <c r="B15" s="83" t="s">
        <v>471</v>
      </c>
      <c r="C15" s="84" t="s">
        <v>472</v>
      </c>
      <c r="D15" s="85" t="s">
        <v>473</v>
      </c>
      <c r="E15" s="85"/>
      <c r="F15" s="85" t="s">
        <v>474</v>
      </c>
      <c r="G15" s="15"/>
      <c r="H15" s="63"/>
      <c r="I15" s="7"/>
      <c r="J15" s="7"/>
      <c r="K15" s="7"/>
    </row>
    <row r="16">
      <c r="A16" s="7"/>
      <c r="B16" s="83" t="s">
        <v>476</v>
      </c>
      <c r="C16" s="84" t="s">
        <v>472</v>
      </c>
      <c r="D16" s="85" t="s">
        <v>473</v>
      </c>
      <c r="E16" s="85"/>
      <c r="F16" s="85" t="s">
        <v>481</v>
      </c>
      <c r="G16" s="15"/>
      <c r="H16" s="63"/>
      <c r="I16" s="7"/>
      <c r="J16" s="7"/>
      <c r="K16" s="7"/>
    </row>
    <row r="17">
      <c r="A17" s="7"/>
      <c r="B17" s="86" t="s">
        <v>482</v>
      </c>
      <c r="C17" s="84" t="s">
        <v>483</v>
      </c>
      <c r="D17" s="85" t="s">
        <v>484</v>
      </c>
      <c r="E17" s="85"/>
      <c r="F17" s="85" t="s">
        <v>474</v>
      </c>
      <c r="G17" s="15"/>
      <c r="H17" s="63" t="s">
        <v>486</v>
      </c>
      <c r="I17" s="7"/>
      <c r="J17" s="7"/>
      <c r="K17" s="7"/>
    </row>
    <row r="18">
      <c r="A18" s="7"/>
      <c r="B18" s="86" t="s">
        <v>489</v>
      </c>
      <c r="C18" s="84" t="s">
        <v>472</v>
      </c>
      <c r="D18" s="85" t="s">
        <v>130</v>
      </c>
      <c r="E18" s="85"/>
      <c r="F18" s="85" t="s">
        <v>481</v>
      </c>
      <c r="G18" s="15"/>
      <c r="H18" s="63"/>
      <c r="I18" s="7"/>
      <c r="J18" s="7"/>
      <c r="K18" s="7"/>
    </row>
    <row r="19">
      <c r="A19" s="7"/>
      <c r="B19" s="86" t="s">
        <v>495</v>
      </c>
      <c r="C19" s="84" t="s">
        <v>483</v>
      </c>
      <c r="D19" s="85" t="s">
        <v>484</v>
      </c>
      <c r="E19" s="85"/>
      <c r="F19" s="85" t="s">
        <v>474</v>
      </c>
      <c r="G19" s="15"/>
      <c r="H19" s="63"/>
      <c r="I19" s="7"/>
      <c r="J19" s="7"/>
      <c r="K19" s="7"/>
    </row>
    <row r="20">
      <c r="A20" s="7"/>
      <c r="B20" s="86" t="s">
        <v>495</v>
      </c>
      <c r="C20" s="87"/>
      <c r="D20" s="85" t="s">
        <v>130</v>
      </c>
      <c r="E20" s="85"/>
      <c r="F20" s="85" t="s">
        <v>481</v>
      </c>
      <c r="G20" s="15"/>
      <c r="H20" s="63"/>
      <c r="I20" s="7"/>
      <c r="J20" s="7"/>
      <c r="K20" s="7"/>
    </row>
    <row r="21">
      <c r="A21" s="7"/>
      <c r="B21" s="86"/>
      <c r="C21" s="87"/>
      <c r="D21" s="85"/>
      <c r="E21" s="85"/>
      <c r="F21" s="88"/>
      <c r="G21" s="15"/>
      <c r="H21" s="63"/>
      <c r="I21" s="7"/>
      <c r="J21" s="7"/>
      <c r="K21" s="7"/>
    </row>
    <row r="22">
      <c r="A22" s="7"/>
      <c r="B22" s="86"/>
      <c r="C22" s="87"/>
      <c r="D22" s="85"/>
      <c r="E22" s="85"/>
      <c r="F22" s="88"/>
      <c r="G22" s="15"/>
      <c r="H22" s="63"/>
      <c r="I22" s="7"/>
      <c r="J22" s="7"/>
      <c r="K22" s="7"/>
    </row>
    <row r="23">
      <c r="A23" s="7"/>
      <c r="B23" s="86"/>
      <c r="C23" s="87"/>
      <c r="D23" s="85"/>
      <c r="E23" s="85"/>
      <c r="F23" s="88"/>
      <c r="G23" s="15"/>
      <c r="H23" s="63"/>
      <c r="I23" s="7"/>
      <c r="J23" s="7"/>
      <c r="K23" s="7"/>
    </row>
    <row r="24">
      <c r="A24" s="7"/>
      <c r="B24" s="86" t="s">
        <v>540</v>
      </c>
      <c r="C24" s="87"/>
      <c r="D24" s="85"/>
      <c r="E24" s="85"/>
      <c r="F24" s="88"/>
      <c r="G24" s="15"/>
      <c r="H24" s="63"/>
      <c r="I24" s="7"/>
      <c r="J24" s="7"/>
      <c r="K24" s="7"/>
    </row>
    <row r="25">
      <c r="A25" s="7"/>
      <c r="B25" s="86" t="s">
        <v>550</v>
      </c>
      <c r="C25" s="87"/>
      <c r="D25" s="85"/>
      <c r="E25" s="85"/>
      <c r="F25" s="88"/>
      <c r="G25" s="15"/>
      <c r="H25" s="63"/>
      <c r="I25" s="7"/>
      <c r="J25" s="7"/>
      <c r="K25" s="7"/>
    </row>
    <row r="26">
      <c r="A26" s="7"/>
      <c r="B26" s="87" t="s">
        <v>562</v>
      </c>
      <c r="C26" s="87"/>
      <c r="D26" s="85"/>
      <c r="E26" s="85"/>
      <c r="F26" s="88"/>
      <c r="G26" s="15"/>
      <c r="H26" s="63"/>
      <c r="I26" s="7"/>
      <c r="J26" s="7"/>
      <c r="K26" s="7"/>
    </row>
    <row r="27">
      <c r="A27" s="7"/>
      <c r="B27" s="87" t="s">
        <v>572</v>
      </c>
      <c r="C27" s="87"/>
      <c r="D27" s="85"/>
      <c r="E27" s="85"/>
      <c r="F27" s="88"/>
      <c r="G27" s="15"/>
      <c r="H27" s="63"/>
      <c r="I27" s="7"/>
      <c r="J27" s="7"/>
      <c r="K27" s="7"/>
    </row>
    <row r="28">
      <c r="A28" s="7"/>
      <c r="B28" s="90" t="s">
        <v>573</v>
      </c>
      <c r="C28" s="91"/>
      <c r="D28" s="92">
        <f>SUM(D15:D27)</f>
        <v>0</v>
      </c>
      <c r="E28" s="92"/>
      <c r="F28" s="91"/>
      <c r="G28" s="15"/>
      <c r="H28" s="63"/>
      <c r="I28" s="7"/>
      <c r="J28" s="7"/>
      <c r="K28" s="7"/>
    </row>
    <row r="29">
      <c r="A29" s="7"/>
      <c r="B29" s="9"/>
      <c r="C29" s="9"/>
      <c r="D29" s="15"/>
      <c r="E29" s="15"/>
      <c r="F29" s="15"/>
      <c r="G29" s="15"/>
      <c r="H29" s="63"/>
      <c r="I29" s="7"/>
      <c r="J29" s="7"/>
      <c r="K29" s="7"/>
    </row>
    <row r="30">
      <c r="A30" s="7"/>
      <c r="B30" s="9" t="s">
        <v>577</v>
      </c>
      <c r="C30" s="9"/>
      <c r="D30" s="15"/>
      <c r="E30" s="15"/>
      <c r="F30" s="15"/>
      <c r="G30" s="15"/>
      <c r="H30" s="63"/>
      <c r="I30" s="7"/>
      <c r="J30" s="7"/>
      <c r="K30" s="7"/>
    </row>
    <row r="31">
      <c r="A31" s="7"/>
      <c r="B31" s="9"/>
      <c r="C31" s="9"/>
      <c r="D31" s="15"/>
      <c r="E31" s="15"/>
      <c r="F31" s="15"/>
      <c r="G31" s="15"/>
      <c r="H31" s="63"/>
      <c r="I31" s="7"/>
      <c r="J31" s="7"/>
      <c r="K31" s="7"/>
    </row>
    <row r="32">
      <c r="A32" s="7"/>
      <c r="B32" s="16" t="s">
        <v>36</v>
      </c>
      <c r="C32" s="9"/>
      <c r="D32" s="15"/>
      <c r="E32" s="15"/>
      <c r="F32" s="15"/>
      <c r="G32" s="15"/>
      <c r="H32" s="63"/>
      <c r="I32" s="7"/>
      <c r="J32" s="7"/>
      <c r="K32" s="7"/>
    </row>
    <row r="33">
      <c r="A33" s="7"/>
      <c r="B33" s="20" t="s">
        <v>593</v>
      </c>
      <c r="C33" s="20" t="s">
        <v>594</v>
      </c>
      <c r="D33" s="20" t="s">
        <v>595</v>
      </c>
      <c r="E33" s="20" t="s">
        <v>596</v>
      </c>
      <c r="F33" s="20" t="s">
        <v>597</v>
      </c>
      <c r="G33" s="20" t="s">
        <v>472</v>
      </c>
      <c r="H33" s="20" t="s">
        <v>598</v>
      </c>
      <c r="I33" s="20"/>
      <c r="J33" s="20" t="s">
        <v>599</v>
      </c>
      <c r="K33" s="7"/>
    </row>
    <row r="34">
      <c r="A34" s="7"/>
      <c r="B34" s="9" t="s">
        <v>471</v>
      </c>
      <c r="C34" s="15" t="s">
        <v>130</v>
      </c>
      <c r="D34" s="15"/>
      <c r="E34" s="15"/>
      <c r="F34" s="15">
        <v>25.0</v>
      </c>
      <c r="G34" s="15">
        <v>25.0</v>
      </c>
      <c r="H34" s="15">
        <v>12.0</v>
      </c>
      <c r="I34" s="15">
        <v>13.0</v>
      </c>
      <c r="J34" s="7"/>
      <c r="K34" s="7"/>
    </row>
    <row r="35">
      <c r="A35" s="7"/>
      <c r="B35" s="9" t="s">
        <v>476</v>
      </c>
      <c r="C35" s="9"/>
      <c r="D35" s="15"/>
      <c r="E35" s="9"/>
      <c r="F35" s="9">
        <v>36.0</v>
      </c>
      <c r="G35" s="9">
        <v>36.0</v>
      </c>
      <c r="H35" s="15">
        <v>25.0</v>
      </c>
      <c r="I35" s="15">
        <v>11.0</v>
      </c>
      <c r="J35" s="7"/>
      <c r="K35" s="7"/>
    </row>
    <row r="36">
      <c r="A36" s="7"/>
      <c r="B36" s="9"/>
      <c r="C36" s="9"/>
      <c r="D36" s="15"/>
      <c r="E36" s="15"/>
      <c r="F36" s="15"/>
      <c r="G36" s="15"/>
      <c r="H36" s="63"/>
      <c r="I36" s="7"/>
      <c r="J36" s="7"/>
      <c r="K36" s="7"/>
    </row>
    <row r="37">
      <c r="A37" s="7"/>
      <c r="B37" s="40"/>
      <c r="C37" s="40"/>
      <c r="D37" s="40"/>
      <c r="E37" s="40"/>
      <c r="F37" s="40"/>
      <c r="G37" s="15"/>
      <c r="H37" s="63"/>
      <c r="I37" s="7"/>
      <c r="J37" s="7"/>
      <c r="K37" s="7"/>
    </row>
    <row r="38">
      <c r="A38" s="7"/>
      <c r="B38" s="40"/>
      <c r="C38" s="40"/>
      <c r="D38" s="40"/>
      <c r="E38" s="40"/>
      <c r="F38" s="40"/>
      <c r="G38" s="15"/>
      <c r="H38" s="63"/>
      <c r="I38" s="7"/>
      <c r="J38" s="7"/>
      <c r="K38" s="7"/>
    </row>
    <row r="39">
      <c r="A39" s="7"/>
      <c r="B39" s="61" t="s">
        <v>307</v>
      </c>
      <c r="C39" s="40"/>
      <c r="D39" s="40"/>
      <c r="E39" s="40"/>
      <c r="F39" s="102"/>
      <c r="G39" s="15"/>
      <c r="H39" s="63"/>
      <c r="I39" s="7"/>
      <c r="J39" s="7"/>
      <c r="K39" s="7"/>
    </row>
    <row r="40">
      <c r="A40" s="7"/>
      <c r="B40" s="9"/>
      <c r="C40" s="40"/>
      <c r="D40" s="45"/>
      <c r="E40" s="45"/>
      <c r="F40" s="40"/>
      <c r="G40" s="40"/>
      <c r="H40" s="63"/>
      <c r="I40" s="7"/>
      <c r="J40" s="7"/>
      <c r="K40" s="7"/>
    </row>
    <row r="41">
      <c r="A41" s="7"/>
      <c r="B41" s="104"/>
      <c r="C41" s="40"/>
      <c r="D41" s="40"/>
      <c r="E41" s="40"/>
      <c r="F41" s="40"/>
      <c r="G41" s="40"/>
      <c r="H41" s="63"/>
      <c r="I41" s="7"/>
      <c r="J41" s="7"/>
      <c r="K41" s="7"/>
    </row>
    <row r="42">
      <c r="A42" s="7"/>
      <c r="B42" s="104"/>
      <c r="C42" s="40"/>
      <c r="D42" s="40"/>
      <c r="E42" s="40"/>
      <c r="F42" s="40"/>
      <c r="G42" s="40"/>
      <c r="H42" s="63"/>
      <c r="I42" s="7"/>
      <c r="J42" s="7"/>
      <c r="K42" s="7"/>
    </row>
    <row r="43">
      <c r="A43" s="7"/>
      <c r="B43" s="104"/>
      <c r="C43" s="40"/>
      <c r="D43" s="40"/>
      <c r="E43" s="40"/>
      <c r="F43" s="40"/>
      <c r="G43" s="40"/>
      <c r="H43" s="63"/>
      <c r="I43" s="7"/>
      <c r="J43" s="7"/>
      <c r="K43" s="7"/>
    </row>
    <row r="44">
      <c r="A44" s="7"/>
      <c r="B44" s="104"/>
      <c r="C44" s="40"/>
      <c r="D44" s="40"/>
      <c r="E44" s="40"/>
      <c r="F44" s="40"/>
      <c r="G44" s="15"/>
      <c r="H44" s="63"/>
      <c r="I44" s="7"/>
      <c r="J44" s="7"/>
      <c r="K44" s="7"/>
    </row>
    <row r="45">
      <c r="A45" s="7"/>
      <c r="B45" s="104"/>
      <c r="C45" s="40"/>
      <c r="D45" s="40"/>
      <c r="E45" s="40"/>
      <c r="F45" s="40"/>
      <c r="G45" s="15"/>
      <c r="H45" s="63"/>
      <c r="I45" s="7"/>
      <c r="J45" s="7"/>
      <c r="K45" s="7"/>
    </row>
    <row r="46">
      <c r="A46" s="7"/>
      <c r="B46" s="104"/>
      <c r="C46" s="40"/>
      <c r="D46" s="40"/>
      <c r="E46" s="40"/>
      <c r="F46" s="40"/>
      <c r="G46" s="15"/>
      <c r="H46" s="63"/>
      <c r="I46" s="7"/>
      <c r="J46" s="7"/>
      <c r="K46" s="7"/>
    </row>
    <row r="47">
      <c r="A47" s="7"/>
      <c r="B47" s="104"/>
      <c r="C47" s="40"/>
      <c r="D47" s="40"/>
      <c r="E47" s="40"/>
      <c r="F47" s="40"/>
      <c r="G47" s="15"/>
      <c r="H47" s="63"/>
      <c r="I47" s="7"/>
      <c r="J47" s="7"/>
      <c r="K47" s="7"/>
    </row>
    <row r="48">
      <c r="A48" s="7"/>
      <c r="B48" s="104"/>
      <c r="C48" s="40"/>
      <c r="D48" s="40"/>
      <c r="E48" s="40"/>
      <c r="F48" s="40"/>
      <c r="G48" s="15"/>
      <c r="H48" s="63"/>
      <c r="I48" s="7"/>
      <c r="J48" s="7"/>
      <c r="K48" s="7"/>
    </row>
    <row r="49">
      <c r="A49" s="7"/>
      <c r="B49" s="40"/>
      <c r="C49" s="40"/>
      <c r="D49" s="40"/>
      <c r="E49" s="40"/>
      <c r="F49" s="102"/>
      <c r="G49" s="15"/>
      <c r="H49" s="63"/>
      <c r="I49" s="7"/>
      <c r="J49" s="7"/>
      <c r="K49" s="7"/>
    </row>
    <row r="50">
      <c r="A50" s="7"/>
      <c r="B50" s="102"/>
      <c r="C50" s="45"/>
      <c r="D50" s="45"/>
      <c r="E50" s="45"/>
      <c r="F50" s="102"/>
      <c r="G50" s="7"/>
      <c r="H50" s="63"/>
      <c r="I50" s="7"/>
      <c r="J50" s="7"/>
      <c r="K50" s="7"/>
    </row>
    <row r="51">
      <c r="A51" s="7"/>
      <c r="B51" s="40"/>
      <c r="C51" s="45"/>
      <c r="D51" s="45"/>
      <c r="E51" s="45"/>
      <c r="F51" s="40"/>
      <c r="G51" s="7"/>
      <c r="H51" s="63"/>
      <c r="I51" s="7"/>
      <c r="J51" s="7"/>
      <c r="K51" s="7"/>
    </row>
    <row r="52">
      <c r="A52" s="7"/>
      <c r="B52" s="45"/>
      <c r="C52" s="45"/>
      <c r="D52" s="45"/>
      <c r="E52" s="45"/>
      <c r="F52" s="40"/>
      <c r="G52" s="7"/>
      <c r="H52" s="63"/>
      <c r="I52" s="7"/>
      <c r="J52" s="7"/>
      <c r="K52" s="7"/>
    </row>
    <row r="53">
      <c r="A53" s="7"/>
      <c r="B53" s="45"/>
      <c r="C53" s="45"/>
      <c r="D53" s="45"/>
      <c r="E53" s="45"/>
      <c r="F53" s="45"/>
      <c r="G53" s="7"/>
      <c r="H53" s="63"/>
      <c r="I53" s="7"/>
      <c r="J53" s="7"/>
      <c r="K53" s="7"/>
    </row>
    <row r="54">
      <c r="A54" s="7"/>
      <c r="B54" s="42"/>
      <c r="C54" s="42"/>
      <c r="D54" s="7"/>
      <c r="E54" s="7"/>
      <c r="F54" s="7"/>
      <c r="G54" s="7"/>
      <c r="H54" s="63"/>
      <c r="I54" s="7"/>
      <c r="J54" s="7"/>
      <c r="K54" s="7"/>
    </row>
  </sheetData>
  <dataValidations>
    <dataValidation type="list" allowBlank="1" showErrorMessage="1" sqref="C15:C27">
      <formula1>"Ожидает подписания,Подписан и передан в бухгалтерию"</formula1>
    </dataValidation>
    <dataValidation type="list" allowBlank="1" showErrorMessage="1" sqref="D4:F4">
      <formula1>"Все,На подписании,Передан в бухгалтерию,К выплате,Выплачено,Осталось выплатить"</formula1>
    </dataValidation>
    <dataValidation type="list" allowBlank="1" showErrorMessage="1" sqref="C4">
      <formula1>"Все,МАС,КАС"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1.75"/>
    <col customWidth="1" min="3" max="3" width="50.13"/>
    <col customWidth="1" min="4" max="4" width="20.63"/>
    <col customWidth="1" hidden="1" min="5" max="5" width="16.63"/>
    <col customWidth="1" min="6" max="6" width="3.5"/>
  </cols>
  <sheetData>
    <row r="1">
      <c r="A1" s="7"/>
      <c r="B1" s="7"/>
      <c r="C1" s="7"/>
      <c r="D1" s="7"/>
      <c r="E1" s="7"/>
      <c r="F1" s="7"/>
    </row>
    <row r="2">
      <c r="A2" s="7"/>
      <c r="B2" s="25" t="s">
        <v>27</v>
      </c>
      <c r="C2" s="25" t="s">
        <v>446</v>
      </c>
      <c r="D2" s="25"/>
      <c r="E2" s="25" t="s">
        <v>448</v>
      </c>
      <c r="F2" s="7"/>
    </row>
    <row r="3">
      <c r="A3" s="7"/>
      <c r="B3" s="9" t="s">
        <v>449</v>
      </c>
      <c r="C3" s="9" t="s">
        <v>450</v>
      </c>
      <c r="D3" s="15"/>
      <c r="E3" s="63">
        <f>D3*2500</f>
        <v>0</v>
      </c>
      <c r="F3" s="7"/>
    </row>
    <row r="4">
      <c r="A4" s="7"/>
      <c r="B4" s="9" t="s">
        <v>454</v>
      </c>
      <c r="C4" s="9" t="s">
        <v>455</v>
      </c>
      <c r="D4" s="15"/>
      <c r="E4" s="63"/>
      <c r="F4" s="7"/>
    </row>
    <row r="5">
      <c r="A5" s="7"/>
      <c r="B5" s="9" t="s">
        <v>457</v>
      </c>
      <c r="C5" s="9" t="s">
        <v>459</v>
      </c>
      <c r="D5" s="15"/>
      <c r="E5" s="63">
        <f t="shared" ref="E5:E8" si="1">D5*2500</f>
        <v>0</v>
      </c>
      <c r="F5" s="7"/>
    </row>
    <row r="6">
      <c r="A6" s="7"/>
      <c r="B6" s="9" t="s">
        <v>463</v>
      </c>
      <c r="C6" s="9" t="s">
        <v>464</v>
      </c>
      <c r="D6" s="15"/>
      <c r="E6" s="63">
        <f t="shared" si="1"/>
        <v>0</v>
      </c>
      <c r="F6" s="7"/>
    </row>
    <row r="7">
      <c r="A7" s="7"/>
      <c r="B7" s="9" t="s">
        <v>465</v>
      </c>
      <c r="C7" s="9" t="s">
        <v>466</v>
      </c>
      <c r="D7" s="15"/>
      <c r="E7" s="63">
        <f t="shared" si="1"/>
        <v>0</v>
      </c>
      <c r="F7" s="7"/>
    </row>
    <row r="8">
      <c r="A8" s="7"/>
      <c r="B8" s="9" t="s">
        <v>467</v>
      </c>
      <c r="C8" s="9" t="s">
        <v>468</v>
      </c>
      <c r="D8" s="15"/>
      <c r="E8" s="63">
        <f t="shared" si="1"/>
        <v>0</v>
      </c>
      <c r="F8" s="7"/>
    </row>
    <row r="9">
      <c r="A9" s="7"/>
      <c r="B9" s="9"/>
      <c r="C9" s="9"/>
      <c r="D9" s="15"/>
      <c r="E9" s="63"/>
      <c r="F9" s="7"/>
    </row>
    <row r="10">
      <c r="A10" s="7"/>
      <c r="B10" s="9"/>
      <c r="C10" s="9"/>
      <c r="D10" s="15"/>
      <c r="E10" s="63"/>
      <c r="F10" s="7"/>
    </row>
    <row r="11">
      <c r="A11" s="7"/>
      <c r="B11" s="9"/>
      <c r="C11" s="9"/>
      <c r="D11" s="15"/>
      <c r="E11" s="63">
        <f>D11*2500</f>
        <v>0</v>
      </c>
      <c r="F11" s="7"/>
    </row>
    <row r="12">
      <c r="A12" s="7"/>
      <c r="B12" s="17"/>
      <c r="C12" s="17"/>
      <c r="D12" s="15"/>
      <c r="E12" s="63"/>
      <c r="F12" s="7"/>
    </row>
    <row r="13">
      <c r="A13" s="7"/>
      <c r="B13" s="9"/>
      <c r="C13" s="9"/>
      <c r="D13" s="15"/>
      <c r="E13" s="63">
        <f t="shared" ref="E13:E18" si="2">D13*2500</f>
        <v>0</v>
      </c>
      <c r="F13" s="7"/>
    </row>
    <row r="14">
      <c r="A14" s="7"/>
      <c r="B14" s="9"/>
      <c r="C14" s="9"/>
      <c r="D14" s="15"/>
      <c r="E14" s="63">
        <f t="shared" si="2"/>
        <v>0</v>
      </c>
      <c r="F14" s="7"/>
    </row>
    <row r="15">
      <c r="A15" s="7"/>
      <c r="B15" s="9"/>
      <c r="C15" s="9"/>
      <c r="D15" s="15"/>
      <c r="E15" s="63">
        <f t="shared" si="2"/>
        <v>0</v>
      </c>
      <c r="F15" s="7"/>
    </row>
    <row r="16">
      <c r="A16" s="7"/>
      <c r="B16" s="9"/>
      <c r="C16" s="9"/>
      <c r="D16" s="15"/>
      <c r="E16" s="63">
        <f t="shared" si="2"/>
        <v>0</v>
      </c>
      <c r="F16" s="7"/>
    </row>
    <row r="17">
      <c r="A17" s="7"/>
      <c r="B17" s="9"/>
      <c r="C17" s="9"/>
      <c r="D17" s="15"/>
      <c r="E17" s="63">
        <f t="shared" si="2"/>
        <v>0</v>
      </c>
      <c r="F17" s="7"/>
    </row>
    <row r="18">
      <c r="A18" s="7"/>
      <c r="B18" s="9"/>
      <c r="C18" s="9"/>
      <c r="D18" s="15"/>
      <c r="E18" s="63">
        <f t="shared" si="2"/>
        <v>0</v>
      </c>
      <c r="F18" s="7"/>
    </row>
    <row r="19">
      <c r="A19" s="7"/>
      <c r="B19" s="9"/>
      <c r="C19" s="9"/>
      <c r="D19" s="15"/>
      <c r="E19" s="63"/>
      <c r="F19" s="7"/>
    </row>
    <row r="20">
      <c r="A20" s="7"/>
      <c r="B20" s="9"/>
      <c r="C20" s="9"/>
      <c r="D20" s="15"/>
      <c r="E20" s="63">
        <f>D20*2500</f>
        <v>0</v>
      </c>
      <c r="F20" s="7"/>
    </row>
    <row r="21" hidden="1">
      <c r="A21" s="7"/>
      <c r="B21" s="9"/>
      <c r="C21" s="9"/>
      <c r="D21" s="7"/>
      <c r="E21" s="63"/>
      <c r="F21" s="7"/>
    </row>
    <row r="22" hidden="1">
      <c r="A22" s="7"/>
      <c r="B22" s="9"/>
      <c r="C22" s="9"/>
      <c r="D22" s="7"/>
      <c r="E22" s="63"/>
      <c r="F22" s="7"/>
    </row>
    <row r="23" hidden="1">
      <c r="A23" s="7"/>
      <c r="B23" s="9"/>
      <c r="C23" s="9"/>
      <c r="D23" s="7"/>
      <c r="E23" s="63"/>
      <c r="F23" s="7"/>
    </row>
    <row r="24">
      <c r="A24" s="7"/>
      <c r="B24" s="9"/>
      <c r="C24" s="9"/>
      <c r="D24" s="15"/>
      <c r="E24" s="63">
        <f t="shared" ref="E24:E26" si="3">D24*2500</f>
        <v>0</v>
      </c>
      <c r="F24" s="7"/>
    </row>
    <row r="25">
      <c r="A25" s="7"/>
      <c r="B25" s="9"/>
      <c r="C25" s="9"/>
      <c r="D25" s="15"/>
      <c r="E25" s="63">
        <f t="shared" si="3"/>
        <v>0</v>
      </c>
      <c r="F25" s="7"/>
    </row>
    <row r="26">
      <c r="A26" s="7"/>
      <c r="B26" s="9"/>
      <c r="C26" s="9"/>
      <c r="D26" s="15"/>
      <c r="E26" s="63">
        <f t="shared" si="3"/>
        <v>0</v>
      </c>
      <c r="F26" s="7"/>
    </row>
    <row r="27">
      <c r="A27" s="7"/>
      <c r="B27" s="9"/>
      <c r="C27" s="9"/>
      <c r="D27" s="15"/>
      <c r="E27" s="63"/>
      <c r="F27" s="7"/>
    </row>
    <row r="28">
      <c r="A28" s="7"/>
      <c r="B28" s="9"/>
      <c r="C28" s="9"/>
      <c r="D28" s="15"/>
      <c r="E28" s="63">
        <f t="shared" ref="E28:E34" si="4">D28*2500</f>
        <v>0</v>
      </c>
      <c r="F28" s="7"/>
    </row>
    <row r="29">
      <c r="A29" s="7"/>
      <c r="B29" s="9"/>
      <c r="C29" s="9"/>
      <c r="D29" s="15"/>
      <c r="E29" s="63">
        <f t="shared" si="4"/>
        <v>0</v>
      </c>
      <c r="F29" s="7"/>
    </row>
    <row r="30">
      <c r="A30" s="7"/>
      <c r="B30" s="9"/>
      <c r="C30" s="9"/>
      <c r="D30" s="15"/>
      <c r="E30" s="63">
        <f t="shared" si="4"/>
        <v>0</v>
      </c>
      <c r="F30" s="7"/>
    </row>
    <row r="31" hidden="1">
      <c r="A31" s="7"/>
      <c r="B31" s="9"/>
      <c r="C31" s="9"/>
      <c r="D31" s="7"/>
      <c r="E31" s="63">
        <f t="shared" si="4"/>
        <v>0</v>
      </c>
      <c r="F31" s="7"/>
    </row>
    <row r="32">
      <c r="A32" s="7"/>
      <c r="B32" s="9"/>
      <c r="C32" s="9"/>
      <c r="D32" s="15"/>
      <c r="E32" s="63">
        <f t="shared" si="4"/>
        <v>0</v>
      </c>
      <c r="F32" s="7"/>
    </row>
    <row r="33">
      <c r="A33" s="7"/>
      <c r="B33" s="9"/>
      <c r="C33" s="9"/>
      <c r="D33" s="15"/>
      <c r="E33" s="63">
        <f t="shared" si="4"/>
        <v>0</v>
      </c>
      <c r="F33" s="7"/>
    </row>
    <row r="34">
      <c r="A34" s="7"/>
      <c r="B34" s="9"/>
      <c r="C34" s="9"/>
      <c r="D34" s="15"/>
      <c r="E34" s="63">
        <f t="shared" si="4"/>
        <v>0</v>
      </c>
      <c r="F34" s="7"/>
    </row>
    <row r="35">
      <c r="A35" s="7"/>
      <c r="B35" s="9"/>
      <c r="C35" s="9"/>
      <c r="D35" s="15"/>
      <c r="E35" s="63"/>
      <c r="F35" s="7"/>
    </row>
    <row r="36">
      <c r="A36" s="7"/>
      <c r="B36" s="9"/>
      <c r="C36" s="9"/>
      <c r="D36" s="15"/>
      <c r="E36" s="63"/>
      <c r="F36" s="7"/>
    </row>
    <row r="37">
      <c r="A37" s="7"/>
      <c r="B37" s="42"/>
      <c r="C37" s="42"/>
      <c r="D37" s="7"/>
      <c r="E37" s="63"/>
      <c r="F37" s="7"/>
    </row>
    <row r="38">
      <c r="A38" s="7"/>
      <c r="B38" s="42"/>
      <c r="C38" s="42"/>
      <c r="D38" s="7"/>
      <c r="E38" s="63"/>
      <c r="F38" s="7"/>
    </row>
    <row r="39">
      <c r="A39" s="7"/>
      <c r="B39" s="42"/>
      <c r="C39" s="42"/>
      <c r="D39" s="7"/>
      <c r="E39" s="63"/>
      <c r="F39" s="7"/>
    </row>
    <row r="40">
      <c r="A40" s="7"/>
      <c r="B40" s="42"/>
      <c r="C40" s="42"/>
      <c r="D40" s="7"/>
      <c r="E40" s="63"/>
      <c r="F40" s="7"/>
    </row>
    <row r="41">
      <c r="A41" s="7"/>
      <c r="B41" s="42"/>
      <c r="C41" s="42"/>
      <c r="D41" s="7"/>
      <c r="E41" s="63"/>
      <c r="F41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1.75"/>
    <col customWidth="1" min="3" max="3" width="50.13"/>
    <col customWidth="1" min="4" max="4" width="34.5"/>
    <col customWidth="1" min="5" max="5" width="47.13"/>
    <col customWidth="1" min="6" max="6" width="20.63"/>
    <col customWidth="1" hidden="1" min="7" max="7" width="16.63"/>
    <col customWidth="1" min="8" max="8" width="3.5"/>
  </cols>
  <sheetData>
    <row r="1">
      <c r="A1" s="7"/>
      <c r="B1" s="7"/>
      <c r="C1" s="8"/>
      <c r="D1" s="7"/>
      <c r="E1" s="7"/>
      <c r="F1" s="7"/>
      <c r="G1" s="7"/>
      <c r="H1" s="7"/>
    </row>
    <row r="2">
      <c r="A2" s="7"/>
      <c r="B2" s="25" t="s">
        <v>475</v>
      </c>
      <c r="G2" s="25" t="s">
        <v>448</v>
      </c>
      <c r="H2" s="7"/>
    </row>
    <row r="3">
      <c r="A3" s="7"/>
      <c r="B3" s="9" t="s">
        <v>477</v>
      </c>
      <c r="C3" s="9" t="s">
        <v>478</v>
      </c>
      <c r="D3" s="15"/>
      <c r="E3" s="15"/>
      <c r="F3" s="15"/>
      <c r="G3" s="63"/>
      <c r="H3" s="7"/>
    </row>
    <row r="4">
      <c r="A4" s="7"/>
      <c r="B4" s="9" t="s">
        <v>479</v>
      </c>
      <c r="C4" s="9" t="s">
        <v>480</v>
      </c>
      <c r="D4" s="15"/>
      <c r="E4" s="15"/>
      <c r="F4" s="15"/>
      <c r="G4" s="63">
        <f>E4*2500</f>
        <v>0</v>
      </c>
      <c r="H4" s="7"/>
    </row>
    <row r="5">
      <c r="A5" s="7"/>
      <c r="B5" s="9" t="s">
        <v>485</v>
      </c>
      <c r="C5" s="9" t="s">
        <v>487</v>
      </c>
      <c r="D5" s="15"/>
      <c r="E5" s="15"/>
      <c r="F5" s="15"/>
      <c r="G5" s="63"/>
      <c r="H5" s="7"/>
    </row>
    <row r="6">
      <c r="A6" s="7"/>
      <c r="B6" s="9" t="s">
        <v>488</v>
      </c>
      <c r="C6" s="9" t="s">
        <v>490</v>
      </c>
      <c r="D6" s="15"/>
      <c r="E6" s="15"/>
      <c r="F6" s="15"/>
      <c r="G6" s="63">
        <f t="shared" ref="G6:G9" si="1">E6*2500</f>
        <v>0</v>
      </c>
      <c r="H6" s="7"/>
    </row>
    <row r="7">
      <c r="A7" s="7"/>
      <c r="B7" s="9" t="s">
        <v>491</v>
      </c>
      <c r="C7" s="9" t="s">
        <v>492</v>
      </c>
      <c r="D7" s="15"/>
      <c r="E7" s="15"/>
      <c r="F7" s="15"/>
      <c r="G7" s="63">
        <f t="shared" si="1"/>
        <v>0</v>
      </c>
      <c r="H7" s="7"/>
    </row>
    <row r="8">
      <c r="A8" s="7"/>
      <c r="B8" s="9" t="s">
        <v>493</v>
      </c>
      <c r="C8" s="9" t="s">
        <v>494</v>
      </c>
      <c r="D8" s="15"/>
      <c r="E8" s="15"/>
      <c r="F8" s="15"/>
      <c r="G8" s="63">
        <f t="shared" si="1"/>
        <v>0</v>
      </c>
      <c r="H8" s="7"/>
    </row>
    <row r="9">
      <c r="A9" s="7"/>
      <c r="B9" s="9" t="s">
        <v>496</v>
      </c>
      <c r="C9" s="9" t="s">
        <v>497</v>
      </c>
      <c r="D9" s="15"/>
      <c r="E9" s="15"/>
      <c r="F9" s="15"/>
      <c r="G9" s="63">
        <f t="shared" si="1"/>
        <v>0</v>
      </c>
      <c r="H9" s="7"/>
    </row>
    <row r="10">
      <c r="A10" s="7"/>
      <c r="B10" s="9"/>
      <c r="C10" s="9"/>
      <c r="D10" s="15"/>
      <c r="E10" s="15"/>
      <c r="F10" s="15"/>
      <c r="G10" s="63"/>
      <c r="H10" s="7"/>
    </row>
    <row r="11" hidden="1">
      <c r="A11" s="7"/>
      <c r="B11" s="9" t="s">
        <v>498</v>
      </c>
      <c r="C11" s="9" t="s">
        <v>499</v>
      </c>
      <c r="D11" s="15"/>
      <c r="E11" s="15"/>
      <c r="F11" s="15"/>
      <c r="G11" s="63"/>
      <c r="H11" s="7"/>
    </row>
    <row r="12" hidden="1">
      <c r="A12" s="7"/>
      <c r="B12" s="9"/>
      <c r="C12" s="9" t="s">
        <v>500</v>
      </c>
      <c r="D12" s="15"/>
      <c r="E12" s="15"/>
      <c r="F12" s="15"/>
      <c r="G12" s="63"/>
      <c r="H12" s="7"/>
    </row>
    <row r="13" hidden="1">
      <c r="A13" s="7"/>
      <c r="B13" s="9"/>
      <c r="C13" s="9" t="s">
        <v>501</v>
      </c>
      <c r="D13" s="15"/>
      <c r="E13" s="15"/>
      <c r="F13" s="15"/>
      <c r="G13" s="63">
        <f>E13*2500</f>
        <v>0</v>
      </c>
      <c r="H13" s="7"/>
    </row>
    <row r="14" hidden="1">
      <c r="A14" s="7"/>
      <c r="B14" s="17"/>
      <c r="C14" s="17" t="s">
        <v>503</v>
      </c>
      <c r="D14" s="15"/>
      <c r="E14" s="15"/>
      <c r="F14" s="15"/>
      <c r="G14" s="63"/>
      <c r="H14" s="7"/>
    </row>
    <row r="15" hidden="1">
      <c r="A15" s="7"/>
      <c r="B15" s="9"/>
      <c r="C15" s="9" t="s">
        <v>505</v>
      </c>
      <c r="D15" s="15"/>
      <c r="E15" s="15"/>
      <c r="F15" s="15"/>
      <c r="G15" s="63">
        <f t="shared" ref="G15:G20" si="2">E15*2500</f>
        <v>0</v>
      </c>
      <c r="H15" s="7"/>
    </row>
    <row r="16" hidden="1">
      <c r="A16" s="7"/>
      <c r="B16" s="9"/>
      <c r="C16" s="9" t="s">
        <v>512</v>
      </c>
      <c r="D16" s="15"/>
      <c r="E16" s="15"/>
      <c r="F16" s="15"/>
      <c r="G16" s="63">
        <f t="shared" si="2"/>
        <v>0</v>
      </c>
      <c r="H16" s="7"/>
    </row>
    <row r="17" hidden="1">
      <c r="A17" s="7"/>
      <c r="B17" s="9"/>
      <c r="C17" s="9" t="s">
        <v>516</v>
      </c>
      <c r="D17" s="15"/>
      <c r="E17" s="15"/>
      <c r="F17" s="15"/>
      <c r="G17" s="63">
        <f t="shared" si="2"/>
        <v>0</v>
      </c>
      <c r="H17" s="7"/>
    </row>
    <row r="18" hidden="1">
      <c r="A18" s="7"/>
      <c r="B18" s="9"/>
      <c r="C18" s="9" t="s">
        <v>518</v>
      </c>
      <c r="D18" s="15"/>
      <c r="E18" s="15"/>
      <c r="F18" s="15"/>
      <c r="G18" s="63">
        <f t="shared" si="2"/>
        <v>0</v>
      </c>
      <c r="H18" s="7"/>
    </row>
    <row r="19" hidden="1">
      <c r="A19" s="7"/>
      <c r="B19" s="9"/>
      <c r="C19" s="9" t="s">
        <v>520</v>
      </c>
      <c r="D19" s="15"/>
      <c r="E19" s="15"/>
      <c r="F19" s="15"/>
      <c r="G19" s="63">
        <f t="shared" si="2"/>
        <v>0</v>
      </c>
      <c r="H19" s="7"/>
    </row>
    <row r="20" hidden="1">
      <c r="A20" s="7"/>
      <c r="B20" s="9" t="s">
        <v>524</v>
      </c>
      <c r="C20" s="9" t="s">
        <v>525</v>
      </c>
      <c r="D20" s="15"/>
      <c r="E20" s="15"/>
      <c r="F20" s="15"/>
      <c r="G20" s="63">
        <f t="shared" si="2"/>
        <v>0</v>
      </c>
      <c r="H20" s="7"/>
    </row>
    <row r="21" hidden="1">
      <c r="A21" s="7"/>
      <c r="B21" s="9" t="s">
        <v>529</v>
      </c>
      <c r="C21" s="9" t="s">
        <v>530</v>
      </c>
      <c r="D21" s="15"/>
      <c r="E21" s="15"/>
      <c r="F21" s="15"/>
      <c r="G21" s="63"/>
      <c r="H21" s="7"/>
    </row>
    <row r="22">
      <c r="A22" s="7"/>
      <c r="B22" s="9"/>
      <c r="C22" s="9"/>
      <c r="D22" s="15"/>
      <c r="E22" s="15"/>
      <c r="F22" s="15"/>
      <c r="G22" s="63">
        <f>E22*2500</f>
        <v>0</v>
      </c>
      <c r="H22" s="7"/>
    </row>
    <row r="23" hidden="1">
      <c r="A23" s="7"/>
      <c r="B23" s="9"/>
      <c r="C23" s="9"/>
      <c r="D23" s="7"/>
      <c r="E23" s="7"/>
      <c r="F23" s="7"/>
      <c r="G23" s="63"/>
      <c r="H23" s="7"/>
    </row>
    <row r="24" hidden="1">
      <c r="A24" s="7"/>
      <c r="B24" s="9"/>
      <c r="C24" s="9"/>
      <c r="D24" s="7"/>
      <c r="E24" s="7"/>
      <c r="F24" s="7"/>
      <c r="G24" s="63"/>
      <c r="H24" s="7"/>
    </row>
    <row r="25" hidden="1">
      <c r="A25" s="7"/>
      <c r="B25" s="9"/>
      <c r="C25" s="9"/>
      <c r="D25" s="7"/>
      <c r="E25" s="7"/>
      <c r="F25" s="7"/>
      <c r="G25" s="63"/>
      <c r="H25" s="7"/>
    </row>
    <row r="26">
      <c r="A26" s="7"/>
      <c r="B26" s="25" t="s">
        <v>538</v>
      </c>
      <c r="G26" s="63">
        <f t="shared" ref="G26:G28" si="3">E26*2500</f>
        <v>0</v>
      </c>
      <c r="H26" s="7"/>
    </row>
    <row r="27">
      <c r="A27" s="7"/>
      <c r="B27" s="25" t="s">
        <v>541</v>
      </c>
      <c r="C27" s="25" t="s">
        <v>542</v>
      </c>
      <c r="D27" s="25" t="s">
        <v>543</v>
      </c>
      <c r="E27" s="25" t="s">
        <v>545</v>
      </c>
      <c r="F27" s="25"/>
      <c r="G27" s="63" t="str">
        <f t="shared" si="3"/>
        <v>#VALUE!</v>
      </c>
      <c r="H27" s="7"/>
    </row>
    <row r="28">
      <c r="A28" s="7"/>
      <c r="B28" s="40" t="s">
        <v>546</v>
      </c>
      <c r="C28" s="40" t="s">
        <v>547</v>
      </c>
      <c r="D28" s="40" t="s">
        <v>548</v>
      </c>
      <c r="E28" s="40" t="s">
        <v>549</v>
      </c>
      <c r="F28" s="15"/>
      <c r="G28" s="63" t="str">
        <f t="shared" si="3"/>
        <v>#VALUE!</v>
      </c>
      <c r="H28" s="7"/>
    </row>
    <row r="29">
      <c r="A29" s="7"/>
      <c r="B29" s="40" t="s">
        <v>551</v>
      </c>
      <c r="C29" s="40" t="s">
        <v>552</v>
      </c>
      <c r="D29" s="40" t="s">
        <v>554</v>
      </c>
      <c r="E29" s="40" t="s">
        <v>556</v>
      </c>
      <c r="F29" s="15"/>
      <c r="G29" s="63"/>
      <c r="H29" s="7"/>
    </row>
    <row r="30">
      <c r="A30" s="7"/>
      <c r="B30" s="40" t="s">
        <v>557</v>
      </c>
      <c r="C30" s="40" t="s">
        <v>558</v>
      </c>
      <c r="D30" s="40" t="s">
        <v>559</v>
      </c>
      <c r="E30" s="40" t="s">
        <v>561</v>
      </c>
      <c r="F30" s="15"/>
      <c r="G30" s="63" t="str">
        <f t="shared" ref="G30:G36" si="4">E30*2500</f>
        <v>#VALUE!</v>
      </c>
      <c r="H30" s="7"/>
    </row>
    <row r="31">
      <c r="A31" s="7"/>
      <c r="B31" s="40" t="s">
        <v>564</v>
      </c>
      <c r="C31" s="40" t="s">
        <v>565</v>
      </c>
      <c r="D31" s="40" t="s">
        <v>566</v>
      </c>
      <c r="E31" s="40" t="s">
        <v>567</v>
      </c>
      <c r="F31" s="15"/>
      <c r="G31" s="63" t="str">
        <f t="shared" si="4"/>
        <v>#VALUE!</v>
      </c>
      <c r="H31" s="7"/>
    </row>
    <row r="32">
      <c r="A32" s="7"/>
      <c r="B32" s="40"/>
      <c r="C32" s="40"/>
      <c r="D32" s="40"/>
      <c r="E32" s="40"/>
      <c r="F32" s="15"/>
      <c r="G32" s="63">
        <f t="shared" si="4"/>
        <v>0</v>
      </c>
      <c r="H32" s="7"/>
    </row>
    <row r="33" hidden="1">
      <c r="A33" s="7"/>
      <c r="B33" s="40"/>
      <c r="C33" s="40"/>
      <c r="D33" s="45"/>
      <c r="E33" s="45"/>
      <c r="F33" s="7"/>
      <c r="G33" s="63">
        <f t="shared" si="4"/>
        <v>0</v>
      </c>
      <c r="H33" s="7"/>
    </row>
    <row r="34">
      <c r="A34" s="7"/>
      <c r="B34" s="40"/>
      <c r="C34" s="40"/>
      <c r="D34" s="40"/>
      <c r="E34" s="40"/>
      <c r="F34" s="15"/>
      <c r="G34" s="63">
        <f t="shared" si="4"/>
        <v>0</v>
      </c>
      <c r="H34" s="7"/>
    </row>
    <row r="35">
      <c r="A35" s="7"/>
      <c r="B35" s="40"/>
      <c r="C35" s="40"/>
      <c r="D35" s="40"/>
      <c r="E35" s="40"/>
      <c r="F35" s="15"/>
      <c r="G35" s="63">
        <f t="shared" si="4"/>
        <v>0</v>
      </c>
      <c r="H35" s="7"/>
    </row>
    <row r="36">
      <c r="A36" s="7"/>
      <c r="B36" s="40"/>
      <c r="C36" s="40"/>
      <c r="D36" s="40"/>
      <c r="E36" s="40"/>
      <c r="F36" s="15"/>
      <c r="G36" s="63">
        <f t="shared" si="4"/>
        <v>0</v>
      </c>
      <c r="H36" s="7"/>
    </row>
    <row r="37">
      <c r="A37" s="7"/>
      <c r="B37" s="40"/>
      <c r="C37" s="40"/>
      <c r="D37" s="40"/>
      <c r="E37" s="40"/>
      <c r="F37" s="15"/>
      <c r="G37" s="63"/>
      <c r="H37" s="7"/>
    </row>
    <row r="38">
      <c r="A38" s="7"/>
      <c r="B38" s="40"/>
      <c r="C38" s="40"/>
      <c r="D38" s="40"/>
      <c r="E38" s="40"/>
      <c r="F38" s="15"/>
      <c r="G38" s="63"/>
      <c r="H38" s="7"/>
    </row>
    <row r="39">
      <c r="A39" s="7"/>
      <c r="B39" s="45"/>
      <c r="C39" s="45"/>
      <c r="D39" s="45"/>
      <c r="E39" s="45"/>
      <c r="F39" s="7"/>
      <c r="G39" s="63"/>
      <c r="H39" s="7"/>
    </row>
    <row r="40">
      <c r="A40" s="7"/>
      <c r="B40" s="45"/>
      <c r="C40" s="45"/>
      <c r="D40" s="45"/>
      <c r="E40" s="45"/>
      <c r="F40" s="7"/>
      <c r="G40" s="63"/>
      <c r="H40" s="7"/>
    </row>
    <row r="41">
      <c r="A41" s="7"/>
      <c r="B41" s="45"/>
      <c r="C41" s="45"/>
      <c r="D41" s="45"/>
      <c r="E41" s="45"/>
      <c r="F41" s="7"/>
      <c r="G41" s="63"/>
      <c r="H41" s="7"/>
    </row>
    <row r="42">
      <c r="A42" s="7"/>
      <c r="B42" s="45"/>
      <c r="C42" s="45"/>
      <c r="D42" s="45"/>
      <c r="E42" s="45"/>
      <c r="F42" s="7"/>
      <c r="G42" s="63"/>
      <c r="H42" s="7"/>
    </row>
    <row r="43">
      <c r="A43" s="7"/>
      <c r="B43" s="42"/>
      <c r="C43" s="42"/>
      <c r="D43" s="7"/>
      <c r="E43" s="7"/>
      <c r="F43" s="7"/>
      <c r="G43" s="63"/>
      <c r="H43" s="7"/>
    </row>
  </sheetData>
  <mergeCells count="2">
    <mergeCell ref="B2:F2"/>
    <mergeCell ref="B26:F2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1.75"/>
    <col customWidth="1" min="3" max="3" width="50.13"/>
    <col customWidth="1" min="4" max="4" width="40.0"/>
    <col customWidth="1" min="5" max="7" width="22.63"/>
    <col customWidth="1" min="8" max="9" width="24.38"/>
    <col customWidth="1" min="10" max="10" width="3.5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</row>
    <row r="2">
      <c r="A2" s="7"/>
      <c r="B2" s="25" t="s">
        <v>27</v>
      </c>
      <c r="C2" s="25" t="s">
        <v>502</v>
      </c>
      <c r="D2" s="25"/>
      <c r="E2" s="7"/>
      <c r="F2" s="7"/>
      <c r="G2" s="7"/>
      <c r="H2" s="7"/>
      <c r="I2" s="7"/>
      <c r="J2" s="7"/>
    </row>
    <row r="3">
      <c r="A3" s="7"/>
      <c r="B3" s="9"/>
      <c r="C3" s="9" t="s">
        <v>504</v>
      </c>
      <c r="D3" s="15"/>
      <c r="E3" s="7"/>
      <c r="F3" s="7"/>
      <c r="G3" s="7"/>
      <c r="H3" s="7"/>
      <c r="I3" s="7"/>
      <c r="J3" s="7"/>
    </row>
    <row r="4">
      <c r="A4" s="7"/>
      <c r="B4" s="25" t="s">
        <v>506</v>
      </c>
      <c r="C4" s="25" t="s">
        <v>507</v>
      </c>
      <c r="D4" s="25" t="s">
        <v>508</v>
      </c>
      <c r="E4" s="25" t="s">
        <v>509</v>
      </c>
      <c r="F4" s="25" t="s">
        <v>441</v>
      </c>
      <c r="G4" s="25" t="s">
        <v>510</v>
      </c>
      <c r="H4" s="25" t="s">
        <v>511</v>
      </c>
      <c r="I4" s="25" t="s">
        <v>513</v>
      </c>
      <c r="J4" s="7"/>
    </row>
    <row r="5">
      <c r="A5" s="7"/>
      <c r="B5" s="9" t="s">
        <v>514</v>
      </c>
      <c r="C5" s="9" t="s">
        <v>515</v>
      </c>
      <c r="D5" s="9" t="s">
        <v>319</v>
      </c>
      <c r="E5" s="7"/>
      <c r="F5" s="7"/>
      <c r="G5" s="7"/>
      <c r="H5" s="7"/>
      <c r="I5" s="7"/>
      <c r="J5" s="7"/>
    </row>
    <row r="6">
      <c r="A6" s="7"/>
      <c r="B6" s="9" t="s">
        <v>517</v>
      </c>
      <c r="C6" s="9" t="s">
        <v>519</v>
      </c>
      <c r="D6" s="9" t="s">
        <v>319</v>
      </c>
      <c r="E6" s="7"/>
      <c r="F6" s="7"/>
      <c r="G6" s="7"/>
      <c r="H6" s="7"/>
      <c r="I6" s="7"/>
      <c r="J6" s="7"/>
    </row>
    <row r="7">
      <c r="A7" s="7"/>
      <c r="B7" s="9" t="s">
        <v>521</v>
      </c>
      <c r="C7" s="9" t="s">
        <v>522</v>
      </c>
      <c r="D7" s="9" t="s">
        <v>523</v>
      </c>
      <c r="E7" s="7"/>
      <c r="F7" s="7"/>
      <c r="G7" s="7"/>
      <c r="H7" s="7"/>
      <c r="I7" s="7"/>
      <c r="J7" s="7"/>
    </row>
    <row r="8">
      <c r="A8" s="7"/>
      <c r="B8" s="9" t="s">
        <v>526</v>
      </c>
      <c r="C8" s="9" t="s">
        <v>527</v>
      </c>
      <c r="D8" s="9" t="s">
        <v>528</v>
      </c>
      <c r="E8" s="7"/>
      <c r="F8" s="7"/>
      <c r="G8" s="7"/>
      <c r="H8" s="7"/>
      <c r="I8" s="7"/>
      <c r="J8" s="7"/>
    </row>
    <row r="9">
      <c r="A9" s="7"/>
      <c r="B9" s="9" t="s">
        <v>531</v>
      </c>
      <c r="C9" s="9" t="s">
        <v>532</v>
      </c>
      <c r="D9" s="9" t="s">
        <v>533</v>
      </c>
      <c r="E9" s="7"/>
      <c r="F9" s="7"/>
      <c r="G9" s="7"/>
      <c r="H9" s="7"/>
      <c r="I9" s="7"/>
      <c r="J9" s="7"/>
    </row>
    <row r="10">
      <c r="A10" s="7"/>
      <c r="B10" s="9" t="s">
        <v>534</v>
      </c>
      <c r="C10" s="9" t="s">
        <v>535</v>
      </c>
      <c r="D10" s="9"/>
      <c r="E10" s="7"/>
      <c r="F10" s="7"/>
      <c r="G10" s="7"/>
      <c r="H10" s="7"/>
      <c r="I10" s="7"/>
      <c r="J10" s="7"/>
    </row>
    <row r="11">
      <c r="A11" s="7"/>
      <c r="B11" s="9" t="s">
        <v>536</v>
      </c>
      <c r="C11" s="9" t="s">
        <v>537</v>
      </c>
      <c r="D11" s="9"/>
      <c r="E11" s="7"/>
      <c r="F11" s="7"/>
      <c r="G11" s="7"/>
      <c r="H11" s="7"/>
      <c r="I11" s="7"/>
      <c r="J11" s="7"/>
    </row>
    <row r="12">
      <c r="A12" s="7"/>
      <c r="B12" s="89" t="s">
        <v>539</v>
      </c>
      <c r="C12" s="9" t="s">
        <v>544</v>
      </c>
      <c r="D12" s="9"/>
      <c r="E12" s="7"/>
      <c r="F12" s="7"/>
      <c r="G12" s="7"/>
      <c r="H12" s="7"/>
      <c r="I12" s="7"/>
      <c r="J12" s="7"/>
    </row>
    <row r="13">
      <c r="A13" s="7"/>
      <c r="B13" s="9" t="s">
        <v>553</v>
      </c>
      <c r="C13" s="9" t="s">
        <v>555</v>
      </c>
      <c r="D13" s="9"/>
      <c r="E13" s="7"/>
      <c r="F13" s="7"/>
      <c r="G13" s="7"/>
      <c r="H13" s="7"/>
      <c r="I13" s="7"/>
      <c r="J13" s="7"/>
    </row>
    <row r="14">
      <c r="A14" s="7"/>
      <c r="B14" s="9" t="s">
        <v>560</v>
      </c>
      <c r="C14" s="9" t="s">
        <v>535</v>
      </c>
      <c r="D14" s="9"/>
      <c r="E14" s="7"/>
      <c r="F14" s="7"/>
      <c r="G14" s="7"/>
      <c r="H14" s="7"/>
      <c r="I14" s="7"/>
      <c r="J14" s="7"/>
    </row>
    <row r="15">
      <c r="A15" s="7"/>
      <c r="B15" s="9" t="s">
        <v>563</v>
      </c>
      <c r="C15" s="9" t="s">
        <v>544</v>
      </c>
      <c r="D15" s="9"/>
      <c r="E15" s="7"/>
      <c r="F15" s="7"/>
      <c r="G15" s="7"/>
      <c r="H15" s="7"/>
      <c r="I15" s="7"/>
      <c r="J15" s="7"/>
    </row>
    <row r="16">
      <c r="A16" s="7"/>
      <c r="B16" s="9" t="s">
        <v>568</v>
      </c>
      <c r="C16" s="9" t="s">
        <v>569</v>
      </c>
      <c r="D16" s="9"/>
      <c r="E16" s="7"/>
      <c r="F16" s="7"/>
      <c r="G16" s="7"/>
      <c r="H16" s="7"/>
      <c r="I16" s="7"/>
      <c r="J16" s="7"/>
    </row>
    <row r="17">
      <c r="A17" s="7"/>
      <c r="B17" s="9" t="s">
        <v>570</v>
      </c>
      <c r="C17" s="9" t="s">
        <v>571</v>
      </c>
      <c r="D17" s="9"/>
      <c r="E17" s="7"/>
      <c r="F17" s="7"/>
      <c r="G17" s="7"/>
      <c r="H17" s="7"/>
      <c r="I17" s="7"/>
      <c r="J17" s="7"/>
    </row>
    <row r="18">
      <c r="A18" s="7"/>
      <c r="B18" s="9"/>
      <c r="C18" s="9"/>
      <c r="D18" s="9"/>
      <c r="E18" s="7"/>
      <c r="F18" s="7"/>
      <c r="G18" s="7"/>
      <c r="H18" s="7"/>
      <c r="I18" s="7"/>
      <c r="J18" s="7"/>
    </row>
    <row r="19">
      <c r="A19" s="7"/>
      <c r="B19" s="9"/>
      <c r="C19" s="9"/>
      <c r="D19" s="9"/>
      <c r="E19" s="7"/>
      <c r="F19" s="7"/>
      <c r="G19" s="7"/>
      <c r="H19" s="7"/>
      <c r="I19" s="7"/>
      <c r="J19" s="7"/>
    </row>
    <row r="20" hidden="1">
      <c r="A20" s="7"/>
      <c r="B20" s="9"/>
      <c r="C20" s="9"/>
      <c r="D20" s="9"/>
      <c r="E20" s="7"/>
      <c r="F20" s="7"/>
      <c r="G20" s="7"/>
      <c r="H20" s="7"/>
      <c r="I20" s="7"/>
      <c r="J20" s="7"/>
    </row>
    <row r="21" hidden="1">
      <c r="A21" s="7"/>
      <c r="B21" s="9"/>
      <c r="C21" s="9"/>
      <c r="D21" s="9"/>
      <c r="E21" s="7"/>
      <c r="F21" s="7"/>
      <c r="G21" s="7"/>
      <c r="H21" s="7"/>
      <c r="I21" s="7"/>
      <c r="J21" s="7"/>
    </row>
    <row r="22" hidden="1">
      <c r="A22" s="7"/>
      <c r="B22" s="9"/>
      <c r="C22" s="9"/>
      <c r="D22" s="9"/>
      <c r="E22" s="7"/>
      <c r="F22" s="7"/>
      <c r="G22" s="7"/>
      <c r="H22" s="7"/>
      <c r="I22" s="7"/>
      <c r="J22" s="7"/>
    </row>
    <row r="23">
      <c r="A23" s="7"/>
      <c r="B23" s="9"/>
      <c r="C23" s="9"/>
      <c r="D23" s="9"/>
      <c r="E23" s="7"/>
      <c r="F23" s="7"/>
      <c r="G23" s="7"/>
      <c r="H23" s="7"/>
      <c r="I23" s="7"/>
      <c r="J23" s="7"/>
    </row>
    <row r="24">
      <c r="A24" s="7"/>
      <c r="B24" s="9"/>
      <c r="C24" s="9"/>
      <c r="D24" s="9"/>
      <c r="E24" s="7"/>
      <c r="F24" s="7"/>
      <c r="G24" s="7"/>
      <c r="H24" s="7"/>
      <c r="I24" s="7"/>
      <c r="J24" s="7"/>
    </row>
    <row r="25">
      <c r="A25" s="7"/>
      <c r="B25" s="9"/>
      <c r="C25" s="9"/>
      <c r="D25" s="9"/>
      <c r="E25" s="7"/>
      <c r="F25" s="7"/>
      <c r="G25" s="7"/>
      <c r="H25" s="7"/>
      <c r="I25" s="7"/>
      <c r="J25" s="7"/>
    </row>
    <row r="26">
      <c r="A26" s="7"/>
      <c r="B26" s="9"/>
      <c r="C26" s="9"/>
      <c r="D26" s="9"/>
      <c r="E26" s="7"/>
      <c r="F26" s="7"/>
      <c r="G26" s="7"/>
      <c r="H26" s="7"/>
      <c r="I26" s="7"/>
      <c r="J26" s="7"/>
    </row>
    <row r="27">
      <c r="A27" s="7"/>
      <c r="B27" s="9"/>
      <c r="C27" s="9"/>
      <c r="D27" s="9"/>
      <c r="E27" s="7"/>
      <c r="F27" s="7"/>
      <c r="G27" s="7"/>
      <c r="H27" s="7"/>
      <c r="I27" s="7"/>
      <c r="J27" s="7"/>
    </row>
    <row r="28">
      <c r="A28" s="7"/>
      <c r="B28" s="9"/>
      <c r="C28" s="9"/>
      <c r="D28" s="9"/>
      <c r="E28" s="7"/>
      <c r="F28" s="7"/>
      <c r="G28" s="7"/>
      <c r="H28" s="7"/>
      <c r="I28" s="7"/>
      <c r="J28" s="7"/>
    </row>
    <row r="29">
      <c r="A29" s="7"/>
      <c r="B29" s="9"/>
      <c r="C29" s="9"/>
      <c r="D29" s="9"/>
      <c r="E29" s="7"/>
      <c r="F29" s="7"/>
      <c r="G29" s="7"/>
      <c r="H29" s="7"/>
      <c r="I29" s="7"/>
      <c r="J29" s="7"/>
    </row>
    <row r="30" hidden="1">
      <c r="A30" s="7"/>
      <c r="B30" s="9"/>
      <c r="C30" s="9"/>
      <c r="D30" s="9"/>
      <c r="E30" s="7"/>
      <c r="F30" s="7"/>
      <c r="G30" s="7"/>
      <c r="H30" s="7"/>
      <c r="I30" s="7"/>
      <c r="J30" s="7"/>
    </row>
    <row r="31">
      <c r="A31" s="7"/>
      <c r="B31" s="9"/>
      <c r="C31" s="9"/>
      <c r="D31" s="9"/>
      <c r="E31" s="7"/>
      <c r="F31" s="7"/>
      <c r="G31" s="7"/>
      <c r="H31" s="7"/>
      <c r="I31" s="7"/>
      <c r="J31" s="7"/>
    </row>
    <row r="32">
      <c r="A32" s="7"/>
      <c r="B32" s="9"/>
      <c r="C32" s="9"/>
      <c r="D32" s="9"/>
      <c r="E32" s="7"/>
      <c r="F32" s="7"/>
      <c r="G32" s="7"/>
      <c r="H32" s="7"/>
      <c r="I32" s="7"/>
      <c r="J32" s="7"/>
    </row>
    <row r="33">
      <c r="A33" s="7"/>
      <c r="B33" s="9"/>
      <c r="C33" s="9"/>
      <c r="D33" s="9"/>
      <c r="E33" s="7"/>
      <c r="F33" s="7"/>
      <c r="G33" s="7"/>
      <c r="H33" s="7"/>
      <c r="I33" s="7"/>
      <c r="J33" s="7"/>
    </row>
    <row r="34">
      <c r="A34" s="7"/>
      <c r="B34" s="9"/>
      <c r="C34" s="9"/>
      <c r="D34" s="9"/>
      <c r="E34" s="7"/>
      <c r="F34" s="7"/>
      <c r="G34" s="7"/>
      <c r="H34" s="7"/>
      <c r="I34" s="7"/>
      <c r="J34" s="7"/>
    </row>
    <row r="35">
      <c r="A35" s="7"/>
      <c r="B35" s="9"/>
      <c r="C35" s="9"/>
      <c r="D35" s="15"/>
      <c r="E35" s="7"/>
      <c r="F35" s="7"/>
      <c r="G35" s="7"/>
      <c r="H35" s="7"/>
      <c r="I35" s="7"/>
      <c r="J35" s="7"/>
    </row>
    <row r="36">
      <c r="A36" s="7"/>
      <c r="B36" s="9"/>
      <c r="C36" s="9"/>
      <c r="D36" s="15"/>
      <c r="E36" s="7"/>
      <c r="F36" s="7"/>
      <c r="G36" s="7"/>
      <c r="H36" s="7"/>
      <c r="I36" s="7"/>
      <c r="J36" s="7"/>
    </row>
    <row r="37">
      <c r="A37" s="7"/>
      <c r="B37" s="9"/>
      <c r="C37" s="9"/>
      <c r="D37" s="15"/>
      <c r="E37" s="7"/>
      <c r="F37" s="7"/>
      <c r="G37" s="7"/>
      <c r="H37" s="7"/>
      <c r="I37" s="7"/>
      <c r="J37" s="7"/>
    </row>
    <row r="38">
      <c r="A38" s="7"/>
      <c r="B38" s="9"/>
      <c r="C38" s="9"/>
      <c r="D38" s="15"/>
      <c r="E38" s="7"/>
      <c r="F38" s="7"/>
      <c r="G38" s="7"/>
      <c r="H38" s="7"/>
      <c r="I38" s="7"/>
      <c r="J38" s="7"/>
    </row>
    <row r="39">
      <c r="A39" s="7"/>
      <c r="B39" s="9"/>
      <c r="C39" s="9"/>
      <c r="D39" s="15"/>
      <c r="E39" s="7"/>
      <c r="F39" s="7"/>
      <c r="G39" s="7"/>
      <c r="H39" s="7"/>
      <c r="I39" s="7"/>
      <c r="J39" s="7"/>
    </row>
    <row r="40">
      <c r="A40" s="7"/>
      <c r="B40" s="9"/>
      <c r="C40" s="9"/>
      <c r="D40" s="15"/>
      <c r="E40" s="7"/>
      <c r="F40" s="7"/>
      <c r="G40" s="7"/>
      <c r="H40" s="7"/>
      <c r="I40" s="7"/>
      <c r="J40" s="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3.0"/>
    <col customWidth="1" min="2" max="2" width="16.25"/>
    <col customWidth="1" min="3" max="3" width="13.63"/>
    <col customWidth="1" min="4" max="4" width="18.25"/>
    <col customWidth="1" min="5" max="5" width="26.88"/>
    <col customWidth="1" min="6" max="6" width="17.13"/>
    <col customWidth="1" min="7" max="7" width="17.63"/>
    <col customWidth="1" min="8" max="8" width="10.38"/>
    <col customWidth="1" min="9" max="9" width="17.63"/>
    <col customWidth="1" min="10" max="10" width="43.25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</row>
    <row r="2">
      <c r="A2" s="7"/>
      <c r="B2" s="93" t="s">
        <v>574</v>
      </c>
      <c r="C2" s="93" t="s">
        <v>575</v>
      </c>
      <c r="D2" s="93" t="s">
        <v>576</v>
      </c>
      <c r="E2" s="93" t="s">
        <v>578</v>
      </c>
      <c r="F2" s="93" t="s">
        <v>579</v>
      </c>
      <c r="G2" s="93" t="s">
        <v>580</v>
      </c>
      <c r="H2" s="93" t="s">
        <v>581</v>
      </c>
      <c r="I2" s="93" t="s">
        <v>582</v>
      </c>
      <c r="J2" s="93" t="s">
        <v>50</v>
      </c>
    </row>
    <row r="3">
      <c r="A3" s="7"/>
      <c r="B3" s="15" t="s">
        <v>583</v>
      </c>
      <c r="C3" s="94">
        <v>45869.0</v>
      </c>
      <c r="D3" s="95">
        <v>9000.0</v>
      </c>
      <c r="E3" s="96" t="s">
        <v>586</v>
      </c>
      <c r="F3" s="15" t="s">
        <v>588</v>
      </c>
      <c r="G3" s="15" t="s">
        <v>589</v>
      </c>
      <c r="H3" s="15" t="s">
        <v>590</v>
      </c>
      <c r="I3" s="97" t="s">
        <v>591</v>
      </c>
      <c r="J3" s="100" t="s">
        <v>592</v>
      </c>
    </row>
    <row r="4">
      <c r="A4" s="7"/>
      <c r="B4" s="15" t="s">
        <v>600</v>
      </c>
      <c r="C4" s="94">
        <v>45869.0</v>
      </c>
      <c r="D4" s="95">
        <v>0.0</v>
      </c>
      <c r="E4" s="96">
        <v>9.2516554E9</v>
      </c>
      <c r="F4" s="15" t="s">
        <v>601</v>
      </c>
      <c r="G4" s="7"/>
      <c r="H4" s="15" t="s">
        <v>602</v>
      </c>
      <c r="I4" s="97" t="s">
        <v>605</v>
      </c>
      <c r="J4" s="100" t="s">
        <v>607</v>
      </c>
    </row>
    <row r="5">
      <c r="A5" s="7"/>
      <c r="B5" s="15" t="s">
        <v>616</v>
      </c>
      <c r="C5" s="94">
        <v>46084.0</v>
      </c>
      <c r="D5" s="95"/>
      <c r="E5" s="96" t="s">
        <v>619</v>
      </c>
      <c r="F5" s="15" t="s">
        <v>621</v>
      </c>
      <c r="G5" s="7"/>
      <c r="H5" s="15" t="s">
        <v>602</v>
      </c>
      <c r="I5" s="97" t="s">
        <v>605</v>
      </c>
      <c r="J5" s="15" t="s">
        <v>624</v>
      </c>
    </row>
    <row r="6">
      <c r="A6" s="7"/>
      <c r="B6" s="15"/>
      <c r="C6" s="94"/>
      <c r="D6" s="95"/>
      <c r="E6" s="96"/>
      <c r="F6" s="15"/>
      <c r="G6" s="7"/>
      <c r="H6" s="15"/>
      <c r="I6" s="15"/>
      <c r="J6" s="15"/>
    </row>
    <row r="7">
      <c r="A7" s="7"/>
      <c r="B7" s="15"/>
      <c r="C7" s="103"/>
      <c r="D7" s="96"/>
      <c r="E7" s="96"/>
      <c r="F7" s="15"/>
      <c r="G7" s="7"/>
      <c r="H7" s="15"/>
      <c r="I7" s="15"/>
      <c r="J7" s="7"/>
    </row>
    <row r="8">
      <c r="A8" s="7"/>
      <c r="B8" s="15"/>
      <c r="C8" s="94"/>
      <c r="D8" s="95"/>
      <c r="E8" s="96"/>
      <c r="F8" s="15"/>
      <c r="G8" s="15"/>
      <c r="H8" s="15"/>
      <c r="I8" s="15"/>
      <c r="J8" s="15"/>
    </row>
    <row r="9">
      <c r="A9" s="7"/>
      <c r="B9" s="15"/>
      <c r="C9" s="95"/>
      <c r="D9" s="95"/>
      <c r="E9" s="96"/>
      <c r="F9" s="15"/>
      <c r="G9" s="7"/>
      <c r="H9" s="15"/>
      <c r="I9" s="15"/>
      <c r="J9" s="7"/>
    </row>
    <row r="10">
      <c r="A10" s="7"/>
      <c r="B10" s="15"/>
      <c r="C10" s="94"/>
      <c r="D10" s="105"/>
      <c r="E10" s="7"/>
      <c r="F10" s="7"/>
      <c r="G10" s="7"/>
      <c r="H10" s="7"/>
      <c r="I10" s="7"/>
      <c r="J10" s="7"/>
    </row>
    <row r="11">
      <c r="A11" s="7"/>
      <c r="B11" s="7"/>
      <c r="C11" s="103"/>
      <c r="D11" s="105"/>
      <c r="E11" s="7"/>
      <c r="F11" s="7"/>
      <c r="G11" s="7"/>
      <c r="H11" s="7"/>
      <c r="I11" s="7"/>
      <c r="J11" s="7"/>
    </row>
    <row r="12">
      <c r="A12" s="7"/>
      <c r="B12" s="7"/>
      <c r="C12" s="103"/>
      <c r="D12" s="105"/>
      <c r="E12" s="7"/>
      <c r="F12" s="7"/>
      <c r="G12" s="7"/>
      <c r="H12" s="7"/>
      <c r="I12" s="7"/>
      <c r="J12" s="7"/>
    </row>
    <row r="13">
      <c r="A13" s="7"/>
      <c r="B13" s="7"/>
      <c r="C13" s="103"/>
      <c r="D13" s="105"/>
      <c r="E13" s="7"/>
      <c r="F13" s="7"/>
      <c r="G13" s="7"/>
      <c r="H13" s="7"/>
      <c r="I13" s="7"/>
      <c r="J13" s="7"/>
    </row>
  </sheetData>
  <conditionalFormatting sqref="C3:C13">
    <cfRule type="expression" dxfId="0" priority="1">
      <formula>AND(ISDATE($C3), $C3&lt;=TODAY())</formula>
    </cfRule>
  </conditionalFormatting>
  <conditionalFormatting sqref="C3:C13">
    <cfRule type="expression" dxfId="1" priority="2">
      <formula>AND(ISDATE($C3), $C3-TODAY()&lt;=7, $C3-TODAY()&gt;0)</formula>
    </cfRule>
  </conditionalFormatting>
  <hyperlinks>
    <hyperlink r:id="rId1" ref="J3"/>
    <hyperlink r:id="rId2" ref="J4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50.13"/>
    <col customWidth="1" min="3" max="3" width="70.38"/>
    <col customWidth="1" min="4" max="4" width="3.5"/>
  </cols>
  <sheetData>
    <row r="1">
      <c r="A1" s="7"/>
      <c r="B1" s="7"/>
      <c r="C1" s="7"/>
      <c r="D1" s="7"/>
    </row>
    <row r="2">
      <c r="A2" s="7"/>
      <c r="B2" s="25" t="s">
        <v>274</v>
      </c>
      <c r="C2" s="25" t="s">
        <v>584</v>
      </c>
      <c r="D2" s="7"/>
    </row>
    <row r="3">
      <c r="A3" s="7"/>
      <c r="B3" s="9" t="s">
        <v>585</v>
      </c>
      <c r="C3" s="98" t="s">
        <v>587</v>
      </c>
      <c r="D3" s="7"/>
    </row>
    <row r="4">
      <c r="A4" s="7"/>
      <c r="B4" s="9"/>
      <c r="C4" s="99"/>
      <c r="D4" s="7"/>
    </row>
    <row r="5">
      <c r="A5" s="7"/>
      <c r="B5" s="42"/>
      <c r="C5" s="99"/>
      <c r="D5" s="7"/>
    </row>
    <row r="6">
      <c r="A6" s="7"/>
      <c r="B6" s="42"/>
      <c r="C6" s="99"/>
      <c r="D6" s="7"/>
    </row>
    <row r="7">
      <c r="A7" s="7"/>
      <c r="B7" s="42"/>
      <c r="C7" s="99"/>
      <c r="D7" s="7"/>
    </row>
  </sheetData>
  <hyperlinks>
    <hyperlink r:id="rId1" location="gid=1308222255" ref="C3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19.63"/>
    <col customWidth="1" min="3" max="3" width="78.5"/>
    <col customWidth="1" min="4" max="5" width="35.75"/>
    <col customWidth="1" min="6" max="6" width="3.88"/>
  </cols>
  <sheetData>
    <row r="1">
      <c r="A1" s="7"/>
      <c r="B1" s="7"/>
      <c r="C1" s="42"/>
      <c r="D1" s="7"/>
      <c r="E1" s="7"/>
      <c r="F1" s="7"/>
    </row>
    <row r="2">
      <c r="A2" s="7"/>
      <c r="B2" s="25" t="s">
        <v>604</v>
      </c>
      <c r="C2" s="25" t="s">
        <v>608</v>
      </c>
      <c r="D2" s="25" t="s">
        <v>609</v>
      </c>
      <c r="E2" s="25" t="s">
        <v>610</v>
      </c>
      <c r="F2" s="15"/>
    </row>
    <row r="3">
      <c r="A3" s="7"/>
      <c r="B3" s="99" t="s">
        <v>612</v>
      </c>
      <c r="C3" s="9" t="s">
        <v>613</v>
      </c>
      <c r="D3" s="7"/>
      <c r="E3" s="7"/>
      <c r="F3" s="15"/>
    </row>
    <row r="4">
      <c r="A4" s="7"/>
      <c r="B4" s="99" t="s">
        <v>615</v>
      </c>
      <c r="C4" s="9" t="s">
        <v>617</v>
      </c>
      <c r="D4" s="15" t="s">
        <v>620</v>
      </c>
      <c r="E4" s="15"/>
      <c r="F4" s="15"/>
    </row>
    <row r="5">
      <c r="A5" s="7"/>
      <c r="B5" s="99" t="s">
        <v>623</v>
      </c>
      <c r="C5" s="9" t="s">
        <v>625</v>
      </c>
      <c r="D5" s="101">
        <v>45931.0</v>
      </c>
      <c r="E5" s="101"/>
      <c r="F5" s="15"/>
    </row>
    <row r="6">
      <c r="A6" s="7"/>
      <c r="B6" s="99" t="s">
        <v>627</v>
      </c>
      <c r="C6" s="9" t="s">
        <v>629</v>
      </c>
      <c r="D6" s="15" t="s">
        <v>630</v>
      </c>
      <c r="E6" s="15"/>
      <c r="F6" s="15"/>
    </row>
    <row r="7">
      <c r="A7" s="7"/>
      <c r="B7" s="99" t="s">
        <v>632</v>
      </c>
      <c r="C7" s="9" t="s">
        <v>633</v>
      </c>
      <c r="D7" s="15" t="s">
        <v>634</v>
      </c>
      <c r="E7" s="15"/>
      <c r="F7" s="15"/>
    </row>
    <row r="8">
      <c r="A8" s="7"/>
      <c r="B8" s="99" t="s">
        <v>636</v>
      </c>
      <c r="C8" s="9" t="s">
        <v>637</v>
      </c>
      <c r="D8" s="15" t="s">
        <v>638</v>
      </c>
      <c r="E8" s="15"/>
      <c r="F8" s="15"/>
    </row>
    <row r="9">
      <c r="A9" s="7"/>
      <c r="B9" s="99" t="s">
        <v>640</v>
      </c>
      <c r="C9" s="9" t="s">
        <v>641</v>
      </c>
      <c r="D9" s="15" t="s">
        <v>642</v>
      </c>
      <c r="E9" s="15"/>
      <c r="F9" s="15"/>
    </row>
    <row r="10">
      <c r="A10" s="7"/>
      <c r="B10" s="99" t="s">
        <v>643</v>
      </c>
      <c r="C10" s="9" t="s">
        <v>644</v>
      </c>
      <c r="D10" s="15" t="s">
        <v>645</v>
      </c>
      <c r="E10" s="15"/>
      <c r="F10" s="15"/>
    </row>
    <row r="11">
      <c r="A11" s="7"/>
      <c r="B11" s="99" t="s">
        <v>646</v>
      </c>
      <c r="C11" s="9" t="s">
        <v>647</v>
      </c>
      <c r="D11" s="7"/>
      <c r="E11" s="7"/>
      <c r="F11" s="15"/>
    </row>
    <row r="12">
      <c r="A12" s="7"/>
      <c r="B12" s="99" t="s">
        <v>648</v>
      </c>
      <c r="C12" s="9" t="s">
        <v>649</v>
      </c>
      <c r="D12" s="7"/>
      <c r="E12" s="7"/>
      <c r="F12" s="1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.88"/>
    <col customWidth="1" min="2" max="2" width="26.13"/>
    <col customWidth="1" min="3" max="3" width="19.63"/>
    <col customWidth="1" min="4" max="4" width="15.63"/>
    <col customWidth="1" min="5" max="5" width="35.75"/>
    <col customWidth="1" min="6" max="6" width="3.88"/>
  </cols>
  <sheetData>
    <row r="1">
      <c r="A1" s="7"/>
      <c r="B1" s="7"/>
      <c r="C1" s="7"/>
      <c r="D1" s="42"/>
      <c r="E1" s="7"/>
      <c r="F1" s="7"/>
    </row>
    <row r="2">
      <c r="A2" s="7"/>
      <c r="B2" s="25" t="s">
        <v>603</v>
      </c>
      <c r="C2" s="25" t="s">
        <v>604</v>
      </c>
      <c r="D2" s="9"/>
      <c r="E2" s="15"/>
      <c r="F2" s="15"/>
    </row>
    <row r="3">
      <c r="A3" s="7"/>
      <c r="B3" s="99" t="s">
        <v>606</v>
      </c>
      <c r="C3" s="99" t="b">
        <v>0</v>
      </c>
      <c r="D3" s="9"/>
      <c r="E3" s="7"/>
      <c r="F3" s="15"/>
    </row>
    <row r="4">
      <c r="A4" s="7"/>
      <c r="B4" s="99" t="s">
        <v>611</v>
      </c>
      <c r="C4" s="99" t="b">
        <v>0</v>
      </c>
      <c r="D4" s="9"/>
      <c r="E4" s="15"/>
      <c r="F4" s="15"/>
    </row>
    <row r="5">
      <c r="A5" s="7"/>
      <c r="B5" s="99" t="s">
        <v>614</v>
      </c>
      <c r="C5" s="99" t="b">
        <v>0</v>
      </c>
      <c r="D5" s="9"/>
      <c r="E5" s="101"/>
      <c r="F5" s="15"/>
    </row>
    <row r="6">
      <c r="A6" s="7"/>
      <c r="B6" s="99" t="s">
        <v>618</v>
      </c>
      <c r="C6" s="99" t="b">
        <v>0</v>
      </c>
      <c r="D6" s="9"/>
      <c r="E6" s="15"/>
      <c r="F6" s="15"/>
    </row>
    <row r="7">
      <c r="A7" s="7"/>
      <c r="B7" s="99" t="s">
        <v>622</v>
      </c>
      <c r="C7" s="99" t="b">
        <v>0</v>
      </c>
      <c r="D7" s="9"/>
      <c r="E7" s="15"/>
      <c r="F7" s="15"/>
    </row>
    <row r="8">
      <c r="A8" s="7"/>
      <c r="B8" s="99" t="s">
        <v>626</v>
      </c>
      <c r="C8" s="99" t="b">
        <v>0</v>
      </c>
      <c r="D8" s="9"/>
      <c r="E8" s="15"/>
      <c r="F8" s="15"/>
    </row>
    <row r="9">
      <c r="A9" s="7"/>
      <c r="B9" s="99" t="s">
        <v>628</v>
      </c>
      <c r="C9" s="99" t="b">
        <v>0</v>
      </c>
      <c r="D9" s="9"/>
      <c r="E9" s="15"/>
      <c r="F9" s="15"/>
    </row>
    <row r="10">
      <c r="A10" s="7"/>
      <c r="B10" s="99" t="s">
        <v>631</v>
      </c>
      <c r="C10" s="99" t="b">
        <v>0</v>
      </c>
      <c r="D10" s="9"/>
      <c r="E10" s="15"/>
      <c r="F10" s="15"/>
    </row>
    <row r="11">
      <c r="A11" s="7"/>
      <c r="B11" s="99" t="s">
        <v>635</v>
      </c>
      <c r="C11" s="99" t="b">
        <v>0</v>
      </c>
      <c r="D11" s="9"/>
      <c r="E11" s="7"/>
      <c r="F11" s="15"/>
    </row>
    <row r="12">
      <c r="A12" s="7"/>
      <c r="B12" s="99" t="s">
        <v>639</v>
      </c>
      <c r="C12" s="99" t="b">
        <v>0</v>
      </c>
      <c r="D12" s="9"/>
      <c r="E12" s="7"/>
      <c r="F12" s="15"/>
    </row>
    <row r="13">
      <c r="A13" s="7"/>
      <c r="B13" s="9"/>
      <c r="C13" s="99"/>
      <c r="D13" s="9"/>
      <c r="E13" s="7"/>
      <c r="F13" s="15"/>
    </row>
    <row r="14">
      <c r="A14" s="7"/>
      <c r="B14" s="9"/>
      <c r="C14" s="99"/>
      <c r="D14" s="9"/>
      <c r="E14" s="7"/>
      <c r="F14" s="15"/>
    </row>
    <row r="15">
      <c r="A15" s="7"/>
      <c r="B15" s="9"/>
      <c r="C15" s="99"/>
      <c r="D15" s="9"/>
      <c r="E15" s="7"/>
      <c r="F15" s="15"/>
    </row>
    <row r="16">
      <c r="A16" s="7"/>
      <c r="B16" s="9"/>
      <c r="C16" s="99"/>
      <c r="D16" s="9"/>
      <c r="E16" s="7"/>
      <c r="F16" s="15"/>
    </row>
    <row r="17">
      <c r="A17" s="7"/>
      <c r="B17" s="9"/>
      <c r="C17" s="99"/>
      <c r="D17" s="9"/>
      <c r="E17" s="7"/>
      <c r="F17" s="15"/>
    </row>
    <row r="18">
      <c r="A18" s="7"/>
      <c r="B18" s="9"/>
      <c r="C18" s="99"/>
      <c r="D18" s="9"/>
      <c r="E18" s="7"/>
      <c r="F18" s="15"/>
    </row>
    <row r="19">
      <c r="A19" s="7"/>
      <c r="B19" s="9"/>
      <c r="C19" s="99"/>
      <c r="D19" s="9"/>
      <c r="E19" s="7"/>
      <c r="F19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59.25"/>
    <col customWidth="1" min="3" max="3" width="71.25"/>
  </cols>
  <sheetData>
    <row r="2" ht="21.75" customHeight="1">
      <c r="B2" s="47"/>
      <c r="C2" s="47"/>
      <c r="D2" s="106" t="s">
        <v>650</v>
      </c>
      <c r="E2" s="107"/>
      <c r="F2" s="107"/>
      <c r="G2" s="107"/>
      <c r="H2" s="107"/>
    </row>
    <row r="3" ht="21.75" customHeight="1">
      <c r="B3" s="108" t="s">
        <v>62</v>
      </c>
      <c r="C3" s="107"/>
      <c r="D3" s="108" t="s">
        <v>276</v>
      </c>
      <c r="E3" s="108" t="s">
        <v>74</v>
      </c>
      <c r="F3" s="108" t="s">
        <v>442</v>
      </c>
      <c r="G3" s="108" t="s">
        <v>45</v>
      </c>
      <c r="H3" s="108" t="s">
        <v>443</v>
      </c>
    </row>
    <row r="4">
      <c r="A4" s="109"/>
      <c r="B4" s="110">
        <v>46143.0</v>
      </c>
      <c r="C4" s="47"/>
      <c r="D4" s="111" t="s">
        <v>151</v>
      </c>
      <c r="E4" s="111" t="s">
        <v>651</v>
      </c>
      <c r="F4" s="107" t="s">
        <v>110</v>
      </c>
      <c r="G4" s="107" t="s">
        <v>110</v>
      </c>
      <c r="H4" s="107" t="s">
        <v>110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>
      <c r="A5" s="109"/>
      <c r="B5" s="110">
        <v>46234.0</v>
      </c>
      <c r="C5" s="107"/>
      <c r="D5" s="107"/>
      <c r="E5" s="107"/>
      <c r="F5" s="107"/>
      <c r="G5" s="107"/>
      <c r="H5" s="107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109"/>
      <c r="B6" s="112"/>
      <c r="C6" s="112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109"/>
      <c r="B7" s="112"/>
      <c r="C7" s="112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109"/>
      <c r="B8" s="112"/>
      <c r="C8" s="112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109"/>
      <c r="B9" s="112"/>
      <c r="C9" s="112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109"/>
      <c r="B10" s="112"/>
      <c r="C10" s="112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109"/>
      <c r="B11" s="112"/>
      <c r="C11" s="112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>
      <c r="A12" s="109"/>
      <c r="B12" s="112"/>
      <c r="C12" s="112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>
      <c r="A13" s="109"/>
      <c r="B13" s="112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>
      <c r="A14" s="109"/>
      <c r="B14" s="112"/>
      <c r="C14" s="112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109"/>
      <c r="B15" s="112"/>
      <c r="C15" s="112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109"/>
      <c r="B16" s="112"/>
      <c r="C16" s="112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A17" s="109"/>
      <c r="B17" s="112"/>
      <c r="C17" s="112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>
      <c r="A20" s="109"/>
      <c r="B20" s="112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>
      <c r="A21" s="109"/>
      <c r="B21" s="112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>
      <c r="A22" s="109"/>
      <c r="B22" s="112"/>
      <c r="C22" s="112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22.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22.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22.5" customHeight="1"/>
    <row r="63" ht="22.5" customHeight="1"/>
    <row r="64" ht="22.5" customHeight="1"/>
  </sheetData>
  <dataValidations>
    <dataValidation type="list" allowBlank="1" showErrorMessage="1" sqref="D4">
      <formula1>'Объекты'!$C$3:$C$25</formula1>
    </dataValidation>
    <dataValidation type="list" allowBlank="1" showErrorMessage="1" sqref="F4:H4">
      <formula1>"Все,На подписании,Передан в бухгалтерию,К выплате,Выплачено,Осталось выплатить"</formula1>
    </dataValidation>
    <dataValidation type="list" allowBlank="1" showErrorMessage="1" sqref="E4">
      <formula1>"Все,МАС,КАС"</formula1>
    </dataValidation>
  </dataValidations>
  <drawing r:id="rId1"/>
</worksheet>
</file>